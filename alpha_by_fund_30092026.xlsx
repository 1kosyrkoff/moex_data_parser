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sz val="10"/>
    </font>
    <font>
      <name val="Arial"/>
      <color rgb="FF52514E"/>
      <sz val="9"/>
    </font>
  </fonts>
  <fills count="4">
    <fill>
      <patternFill/>
    </fill>
    <fill>
      <patternFill patternType="gray125"/>
    </fill>
    <fill>
      <patternFill patternType="solid">
        <fgColor rgb="FF3A3A38"/>
      </patternFill>
    </fill>
    <fill>
      <patternFill patternType="solid">
        <fgColor rgb="FFF2F2EF"/>
      </patternFill>
    </fill>
  </fills>
  <borders count="2">
    <border>
      <left/>
      <right/>
      <top/>
      <bottom/>
      <diagonal/>
    </border>
    <border>
      <left style="thin">
        <color rgb="FFD6D5CE"/>
      </left>
      <right style="thin">
        <color rgb="FFD6D5CE"/>
      </right>
      <top style="thin">
        <color rgb="FFD6D5CE"/>
      </top>
      <bottom style="thin">
        <color rgb="FFD6D5C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2" fillId="3" borderId="1" pivotButton="0" quotePrefix="0" xfId="0"/>
    <xf numFmtId="10" fontId="2" fillId="3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FF1F5FA9"/>
        <sz val="10"/>
      </font>
    </dxf>
    <dxf>
      <font>
        <name val="Arial"/>
        <color rgb="FFB3372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75" customWidth="1" min="14" max="14"/>
  </cols>
  <sheetData>
    <row r="1" ht="31.5" customHeight="1">
      <c r="A1" s="1" t="inlineStr">
        <is>
          <t>Фонд</t>
        </is>
      </c>
      <c r="B1" s="1" t="inlineStr">
        <is>
          <t>Тип</t>
        </is>
      </c>
      <c r="C1" s="1" t="inlineStr">
        <is>
          <t>Бенчмарк</t>
        </is>
      </c>
      <c r="D1" s="1" t="inlineStr">
        <is>
          <t>1 месяц</t>
        </is>
      </c>
      <c r="E1" s="1" t="inlineStr">
        <is>
          <t>2 месяца</t>
        </is>
      </c>
      <c r="F1" s="1" t="inlineStr">
        <is>
          <t>3 месяца</t>
        </is>
      </c>
      <c r="G1" s="1" t="inlineStr">
        <is>
          <t>6 месяцев</t>
        </is>
      </c>
      <c r="H1" s="1" t="inlineStr">
        <is>
          <t>12 месяцев</t>
        </is>
      </c>
      <c r="I1" s="1" t="inlineStr">
        <is>
          <t>2 года</t>
        </is>
      </c>
      <c r="J1" s="1" t="inlineStr">
        <is>
          <t>3 года</t>
        </is>
      </c>
      <c r="K1" s="1" t="inlineStr">
        <is>
          <t>4 года</t>
        </is>
      </c>
      <c r="L1" s="1" t="inlineStr">
        <is>
          <t>5 лет</t>
        </is>
      </c>
      <c r="M1" s="1" t="inlineStr">
        <is>
          <t>Периодов с альфой &gt; 0</t>
        </is>
      </c>
      <c r="N1" s="1" t="inlineStr">
        <is>
          <t>Замечание</t>
        </is>
      </c>
    </row>
    <row r="2">
      <c r="A2" s="2" t="inlineStr">
        <is>
          <t>Индекс МосБиржи (ОПИФ)</t>
        </is>
      </c>
      <c r="B2" s="2" t="inlineStr">
        <is>
          <t>ОПИФ</t>
        </is>
      </c>
      <c r="C2" s="2" t="inlineStr">
        <is>
          <t>MCF2TR</t>
        </is>
      </c>
      <c r="D2" s="3" t="n">
        <v>-0.00281793961075083</v>
      </c>
      <c r="E2" s="3" t="n">
        <v>-0.005255976375611482</v>
      </c>
      <c r="F2" s="3" t="n">
        <v>-0.00808769396802278</v>
      </c>
      <c r="G2" s="3" t="n">
        <v>-0.00686276530902441</v>
      </c>
      <c r="H2" s="3" t="n">
        <v>-0.01242939185561098</v>
      </c>
      <c r="I2" s="3" t="n">
        <v>-0.0275140172791315</v>
      </c>
      <c r="J2" s="4" t="inlineStr">
        <is>
          <t>—</t>
        </is>
      </c>
      <c r="K2" s="4" t="inlineStr">
        <is>
          <t>—</t>
        </is>
      </c>
      <c r="L2" s="4" t="inlineStr">
        <is>
          <t>—</t>
        </is>
      </c>
      <c r="M2" s="2">
        <f>COUNTIF(D2:L2,"&gt;0")&amp;" из "&amp;COUNT(D2:L2)</f>
        <v/>
      </c>
      <c r="N2" s="5" t="n"/>
    </row>
    <row r="3">
      <c r="A3" s="6" t="inlineStr">
        <is>
          <t>Акции</t>
        </is>
      </c>
      <c r="B3" s="6" t="inlineStr">
        <is>
          <t>ОПИФ</t>
        </is>
      </c>
      <c r="C3" s="6" t="inlineStr">
        <is>
          <t>MCFTR</t>
        </is>
      </c>
      <c r="D3" s="7" t="n">
        <v>-0.03184439402034966</v>
      </c>
      <c r="E3" s="7" t="n">
        <v>-0.04550334309196014</v>
      </c>
      <c r="F3" s="7" t="n">
        <v>-0.05638159320665059</v>
      </c>
      <c r="G3" s="7" t="n">
        <v>-0.01735046839262133</v>
      </c>
      <c r="H3" s="7" t="n">
        <v>-0.02707959473910149</v>
      </c>
      <c r="I3" s="7" t="n">
        <v>-0.0150383788218591</v>
      </c>
      <c r="J3" s="8" t="inlineStr">
        <is>
          <t>—</t>
        </is>
      </c>
      <c r="K3" s="8" t="inlineStr">
        <is>
          <t>—</t>
        </is>
      </c>
      <c r="L3" s="8" t="inlineStr">
        <is>
          <t>—</t>
        </is>
      </c>
      <c r="M3" s="6">
        <f>COUNTIF(D3:L3,"&gt;0")&amp;" из "&amp;COUNT(D3:L3)</f>
        <v/>
      </c>
      <c r="N3" s="9" t="n"/>
    </row>
    <row r="4">
      <c r="A4" s="2" t="inlineStr">
        <is>
          <t>Перспективные размещения</t>
        </is>
      </c>
      <c r="B4" s="2" t="inlineStr">
        <is>
          <t>ОПИФ</t>
        </is>
      </c>
      <c r="C4" s="2" t="inlineStr">
        <is>
          <t>VTBFG0013</t>
        </is>
      </c>
      <c r="D4" s="3" t="n">
        <v>0.01547579916507469</v>
      </c>
      <c r="E4" s="3" t="n">
        <v>-0.004086885989194489</v>
      </c>
      <c r="F4" s="3" t="n">
        <v>0.01977140314007542</v>
      </c>
      <c r="G4" s="3" t="n">
        <v>0.03344252572960482</v>
      </c>
      <c r="H4" s="3" t="n">
        <v>0.0622251665582545</v>
      </c>
      <c r="I4" s="3" t="n">
        <v>0.02849802282682012</v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2">
        <f>COUNTIF(D4:L4,"&gt;0")&amp;" из "&amp;COUNT(D4:L4)</f>
        <v/>
      </c>
      <c r="N4" s="5" t="n"/>
    </row>
    <row r="5">
      <c r="A5" s="6" t="inlineStr">
        <is>
          <t>Денежный рынок. Рубли</t>
        </is>
      </c>
      <c r="B5" s="6" t="inlineStr">
        <is>
          <t>ОПИФ</t>
        </is>
      </c>
      <c r="C5" s="6" t="inlineStr">
        <is>
          <t>RUSFAR</t>
        </is>
      </c>
      <c r="D5" s="7" t="n">
        <v>-0.001311527698710346</v>
      </c>
      <c r="E5" s="7" t="n">
        <v>-0.002807079243798416</v>
      </c>
      <c r="F5" s="7" t="n">
        <v>-0.004686934937838894</v>
      </c>
      <c r="G5" s="7" t="n">
        <v>-0.01016661378426797</v>
      </c>
      <c r="H5" s="7" t="n">
        <v>-0.01843992266716499</v>
      </c>
      <c r="I5" s="7" t="n">
        <v>-0.0421840481924618</v>
      </c>
      <c r="J5" s="8" t="inlineStr">
        <is>
          <t>—</t>
        </is>
      </c>
      <c r="K5" s="8" t="inlineStr">
        <is>
          <t>—</t>
        </is>
      </c>
      <c r="L5" s="8" t="inlineStr">
        <is>
          <t>—</t>
        </is>
      </c>
      <c r="M5" s="6">
        <f>COUNTIF(D5:L5,"&gt;0")&amp;" из "&amp;COUNT(D5:L5)</f>
        <v/>
      </c>
      <c r="N5" s="9" t="n"/>
    </row>
    <row r="6">
      <c r="A6" s="2" t="inlineStr">
        <is>
          <t>Казначейский</t>
        </is>
      </c>
      <c r="B6" s="2" t="inlineStr">
        <is>
          <t>ОПИФ</t>
        </is>
      </c>
      <c r="C6" s="2" t="inlineStr">
        <is>
          <t>RUCBTRNS</t>
        </is>
      </c>
      <c r="D6" s="3" t="n">
        <v>-0.008121894455674905</v>
      </c>
      <c r="E6" s="3" t="n">
        <v>-0.01757280285135832</v>
      </c>
      <c r="F6" s="3" t="n">
        <v>-0.003612849334647006</v>
      </c>
      <c r="G6" s="3" t="n">
        <v>-0.03533721530146061</v>
      </c>
      <c r="H6" s="3" t="n">
        <v>-0.03799697895333809</v>
      </c>
      <c r="I6" s="3" t="n">
        <v>0.0003604986000065313</v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2">
        <f>COUNTIF(D6:L6,"&gt;0")&amp;" из "&amp;COUNT(D6:L6)</f>
        <v/>
      </c>
      <c r="N6" s="5" t="n"/>
    </row>
    <row r="7">
      <c r="A7" s="6" t="inlineStr">
        <is>
          <t>Металлургия</t>
        </is>
      </c>
      <c r="B7" s="6" t="inlineStr">
        <is>
          <t>ОПИФ</t>
        </is>
      </c>
      <c r="C7" s="6" t="inlineStr">
        <is>
          <t>MOEXMM</t>
        </is>
      </c>
      <c r="D7" s="7" t="n">
        <v>-0.001043152984909423</v>
      </c>
      <c r="E7" s="7" t="n">
        <v>-0.01651464493997801</v>
      </c>
      <c r="F7" s="7" t="n">
        <v>0.0279372437977421</v>
      </c>
      <c r="G7" s="7" t="n">
        <v>0.1084568339930048</v>
      </c>
      <c r="H7" s="7" t="n">
        <v>0.1065822240976388</v>
      </c>
      <c r="I7" s="7" t="n">
        <v>0.05611932869853065</v>
      </c>
      <c r="J7" s="8" t="inlineStr">
        <is>
          <t>—</t>
        </is>
      </c>
      <c r="K7" s="8" t="inlineStr">
        <is>
          <t>—</t>
        </is>
      </c>
      <c r="L7" s="8" t="inlineStr">
        <is>
          <t>—</t>
        </is>
      </c>
      <c r="M7" s="6">
        <f>COUNTIF(D7:L7,"&gt;0")&amp;" из "&amp;COUNT(D7:L7)</f>
        <v/>
      </c>
      <c r="N7" s="9" t="n"/>
    </row>
    <row r="8">
      <c r="A8" s="2" t="inlineStr">
        <is>
          <t>Нефтегазовый сектор</t>
        </is>
      </c>
      <c r="B8" s="2" t="inlineStr">
        <is>
          <t>ОПИФ</t>
        </is>
      </c>
      <c r="C8" s="2" t="inlineStr">
        <is>
          <t>MOEXOG</t>
        </is>
      </c>
      <c r="D8" s="3" t="n">
        <v>-0.04694275106054624</v>
      </c>
      <c r="E8" s="3" t="n">
        <v>-0.06677391660677268</v>
      </c>
      <c r="F8" s="3" t="n">
        <v>-0.01466401707185305</v>
      </c>
      <c r="G8" s="3" t="n">
        <v>0.04187958149105953</v>
      </c>
      <c r="H8" s="3" t="n">
        <v>0.04119216066234088</v>
      </c>
      <c r="I8" s="3" t="n">
        <v>0.04334734803179874</v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2">
        <f>COUNTIF(D8:L8,"&gt;0")&amp;" из "&amp;COUNT(D8:L8)</f>
        <v/>
      </c>
      <c r="N8" s="5" t="n"/>
    </row>
    <row r="9">
      <c r="A9" s="6" t="inlineStr">
        <is>
          <t>Облигации. Ответственные инвестиции</t>
        </is>
      </c>
      <c r="B9" s="6" t="inlineStr">
        <is>
          <t>ОПИФ</t>
        </is>
      </c>
      <c r="C9" s="6" t="inlineStr">
        <is>
          <t>RUCBTRNS</t>
        </is>
      </c>
      <c r="D9" s="7" t="n">
        <v>0.001777767151238452</v>
      </c>
      <c r="E9" s="7" t="n">
        <v>0.00038868471823994</v>
      </c>
      <c r="F9" s="7" t="n">
        <v>0.005428416540215864</v>
      </c>
      <c r="G9" s="7" t="n">
        <v>0.006895286767465869</v>
      </c>
      <c r="H9" s="7" t="n">
        <v>0.005724342609692012</v>
      </c>
      <c r="I9" s="7" t="n">
        <v>-0.01281752578872264</v>
      </c>
      <c r="J9" s="8" t="inlineStr">
        <is>
          <t>—</t>
        </is>
      </c>
      <c r="K9" s="8" t="inlineStr">
        <is>
          <t>—</t>
        </is>
      </c>
      <c r="L9" s="8" t="inlineStr">
        <is>
          <t>—</t>
        </is>
      </c>
      <c r="M9" s="6">
        <f>COUNTIF(D9:L9,"&gt;0")&amp;" из "&amp;COUNT(D9:L9)</f>
        <v/>
      </c>
      <c r="N9" s="9" t="n"/>
    </row>
    <row r="10">
      <c r="A10" s="2" t="inlineStr">
        <is>
          <t>Сбалансированные инвестиции</t>
        </is>
      </c>
      <c r="B10" s="2" t="inlineStr">
        <is>
          <t>ОПИФ</t>
        </is>
      </c>
      <c r="C10" s="2" t="inlineStr">
        <is>
          <t>VTBFG0005</t>
        </is>
      </c>
      <c r="D10" s="3" t="n">
        <v>-0.01525973072915199</v>
      </c>
      <c r="E10" s="3" t="n">
        <v>-0.0299027149657255</v>
      </c>
      <c r="F10" s="3" t="n">
        <v>-0.03530730084262657</v>
      </c>
      <c r="G10" s="3" t="n">
        <v>-0.01175980998045612</v>
      </c>
      <c r="H10" s="3" t="n">
        <v>-0.01396351888000957</v>
      </c>
      <c r="I10" s="3" t="n">
        <v>-0.0335262676810133</v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2">
        <f>COUNTIF(D10:L10,"&gt;0")&amp;" из "&amp;COUNT(D10:L10)</f>
        <v/>
      </c>
      <c r="N10" s="5" t="n"/>
    </row>
    <row r="11">
      <c r="A11" s="6" t="inlineStr">
        <is>
          <t>Сбалансированный</t>
        </is>
      </c>
      <c r="B11" s="6" t="inlineStr">
        <is>
          <t>ОПИФ</t>
        </is>
      </c>
      <c r="C11" s="6" t="inlineStr">
        <is>
          <t>VTBFG0006</t>
        </is>
      </c>
      <c r="D11" s="7" t="n">
        <v>-0.02581131454398222</v>
      </c>
      <c r="E11" s="7" t="n">
        <v>-0.03832713573899449</v>
      </c>
      <c r="F11" s="7" t="n">
        <v>-0.04414343207205573</v>
      </c>
      <c r="G11" s="7" t="n">
        <v>-0.005520118272286823</v>
      </c>
      <c r="H11" s="7" t="n">
        <v>-0.0004545250617395968</v>
      </c>
      <c r="I11" s="7" t="n">
        <v>0.03661588943905003</v>
      </c>
      <c r="J11" s="8" t="inlineStr">
        <is>
          <t>—</t>
        </is>
      </c>
      <c r="K11" s="8" t="inlineStr">
        <is>
          <t>—</t>
        </is>
      </c>
      <c r="L11" s="8" t="inlineStr">
        <is>
          <t>—</t>
        </is>
      </c>
      <c r="M11" s="6">
        <f>COUNTIF(D11:L11,"&gt;0")&amp;" из "&amp;COUNT(D11:L11)</f>
        <v/>
      </c>
      <c r="N11" s="9" t="n"/>
    </row>
    <row r="12">
      <c r="A12" s="2" t="inlineStr">
        <is>
          <t>Сбалансированный. Консервативный</t>
        </is>
      </c>
      <c r="B12" s="2" t="inlineStr">
        <is>
          <t>ОПИФ</t>
        </is>
      </c>
      <c r="C12" s="2" t="inlineStr">
        <is>
          <t>VTBFG0011</t>
        </is>
      </c>
      <c r="D12" s="3" t="n">
        <v>-0.01677582035675496</v>
      </c>
      <c r="E12" s="3" t="n">
        <v>-0.02695925387504572</v>
      </c>
      <c r="F12" s="3" t="n">
        <v>-0.02021855061328415</v>
      </c>
      <c r="G12" s="3" t="n">
        <v>-0.02672349971607613</v>
      </c>
      <c r="H12" s="3" t="n">
        <v>-0.03364212928354138</v>
      </c>
      <c r="I12" s="3" t="n">
        <v>-0.02939992896773025</v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2">
        <f>COUNTIF(D12:L12,"&gt;0")&amp;" из "&amp;COUNT(D12:L12)</f>
        <v/>
      </c>
      <c r="N12" s="5" t="n"/>
    </row>
    <row r="13">
      <c r="A13" s="6" t="inlineStr">
        <is>
          <t>Инновационный</t>
        </is>
      </c>
      <c r="B13" s="6" t="inlineStr">
        <is>
          <t>ОПИФ</t>
        </is>
      </c>
      <c r="C13" s="6" t="inlineStr">
        <is>
          <t>MOEXIT</t>
        </is>
      </c>
      <c r="D13" s="7" t="n">
        <v>-0.02020356829895165</v>
      </c>
      <c r="E13" s="7" t="n">
        <v>-0.02225325230990804</v>
      </c>
      <c r="F13" s="7" t="n">
        <v>-0.004873059856822293</v>
      </c>
      <c r="G13" s="7" t="n">
        <v>0.09532914079834376</v>
      </c>
      <c r="H13" s="7" t="n">
        <v>0.1506351853875233</v>
      </c>
      <c r="I13" s="7" t="n">
        <v>0.3572831093283019</v>
      </c>
      <c r="J13" s="8" t="inlineStr">
        <is>
          <t>—</t>
        </is>
      </c>
      <c r="K13" s="8" t="inlineStr">
        <is>
          <t>—</t>
        </is>
      </c>
      <c r="L13" s="8" t="inlineStr">
        <is>
          <t>—</t>
        </is>
      </c>
      <c r="M13" s="6">
        <f>COUNTIF(D13:L13,"&gt;0")&amp;" из "&amp;COUNT(D13:L13)</f>
        <v/>
      </c>
      <c r="N13" s="9" t="inlineStr">
        <is>
          <t>смена мандата: Электроэнергетика → Инновационный</t>
        </is>
      </c>
    </row>
    <row r="14">
      <c r="A14" s="2" t="inlineStr">
        <is>
          <t>Накопительный резерв</t>
        </is>
      </c>
      <c r="B14" s="2" t="inlineStr">
        <is>
          <t>ОПИФ</t>
        </is>
      </c>
      <c r="C14" s="2" t="inlineStr">
        <is>
          <t>VTBFG0010</t>
        </is>
      </c>
      <c r="D14" s="3" t="n">
        <v>-0.01579774306565085</v>
      </c>
      <c r="E14" s="3" t="n">
        <v>-0.03169818433063154</v>
      </c>
      <c r="F14" s="3" t="n">
        <v>-0.03097553882247417</v>
      </c>
      <c r="G14" s="3" t="n">
        <v>-0.05062868857391334</v>
      </c>
      <c r="H14" s="3" t="n">
        <v>-0.06433830469240365</v>
      </c>
      <c r="I14" s="3" t="n">
        <v>-0.1063301512109005</v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2">
        <f>COUNTIF(D14:L14,"&gt;0")&amp;" из "&amp;COUNT(D14:L14)</f>
        <v/>
      </c>
      <c r="N14" s="5" t="inlineStr">
        <is>
          <t>скорректировано на дробление 1:100</t>
        </is>
      </c>
    </row>
    <row r="15">
      <c r="A15" s="6" t="inlineStr">
        <is>
          <t>Облигации. Российские эмитенты</t>
        </is>
      </c>
      <c r="B15" s="6" t="inlineStr">
        <is>
          <t>ОПИФ</t>
        </is>
      </c>
      <c r="C15" s="6" t="inlineStr">
        <is>
          <t>RUCBTRNS</t>
        </is>
      </c>
      <c r="D15" s="7" t="n">
        <v>-0.003363971700448554</v>
      </c>
      <c r="E15" s="7" t="n">
        <v>-0.01223082861345159</v>
      </c>
      <c r="F15" s="7" t="n">
        <v>-0.003737556927470909</v>
      </c>
      <c r="G15" s="7" t="n">
        <v>-0.03248282261835445</v>
      </c>
      <c r="H15" s="7" t="n">
        <v>-0.0390993461118827</v>
      </c>
      <c r="I15" s="7" t="n">
        <v>-0.03694734257747978</v>
      </c>
      <c r="J15" s="8" t="inlineStr">
        <is>
          <t>—</t>
        </is>
      </c>
      <c r="K15" s="8" t="inlineStr">
        <is>
          <t>—</t>
        </is>
      </c>
      <c r="L15" s="8" t="inlineStr">
        <is>
          <t>—</t>
        </is>
      </c>
      <c r="M15" s="6">
        <f>COUNTIF(D15:L15,"&gt;0")&amp;" из "&amp;COUNT(D15:L15)</f>
        <v/>
      </c>
      <c r="N15" s="9" t="n"/>
    </row>
    <row r="16">
      <c r="A16" s="2" t="inlineStr">
        <is>
          <t>Акции. Российские эмитенты</t>
        </is>
      </c>
      <c r="B16" s="2" t="inlineStr">
        <is>
          <t>ОПИФ</t>
        </is>
      </c>
      <c r="C16" s="2" t="inlineStr">
        <is>
          <t>MCFTR</t>
        </is>
      </c>
      <c r="D16" s="3" t="n">
        <v>-0.03173052735171944</v>
      </c>
      <c r="E16" s="3" t="n">
        <v>-0.04379398072474816</v>
      </c>
      <c r="F16" s="3" t="n">
        <v>-0.05079803740138655</v>
      </c>
      <c r="G16" s="3" t="n">
        <v>-0.00211727647542026</v>
      </c>
      <c r="H16" s="3" t="n">
        <v>-0.007992144900668463</v>
      </c>
      <c r="I16" s="3" t="n">
        <v>0.01970279138306197</v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2">
        <f>COUNTIF(D16:L16,"&gt;0")&amp;" из "&amp;COUNT(D16:L16)</f>
        <v/>
      </c>
      <c r="N16" s="5" t="n"/>
    </row>
    <row r="17">
      <c r="A17" s="6" t="inlineStr">
        <is>
          <t>Индекс МосБиржи (БПИФ)</t>
        </is>
      </c>
      <c r="B17" s="6" t="inlineStr">
        <is>
          <t>БПИФ</t>
        </is>
      </c>
      <c r="C17" s="6" t="inlineStr">
        <is>
          <t>VTBFG0012</t>
        </is>
      </c>
      <c r="D17" s="7" t="n">
        <v>-0.002569242919643999</v>
      </c>
      <c r="E17" s="7" t="n">
        <v>-0.004607198163934845</v>
      </c>
      <c r="F17" s="7" t="n">
        <v>-0.007098090694652948</v>
      </c>
      <c r="G17" s="7" t="n">
        <v>-0.005267160956337391</v>
      </c>
      <c r="H17" s="7" t="n">
        <v>-0.008948600446194943</v>
      </c>
      <c r="I17" s="7" t="n">
        <v>-0.02275044973646023</v>
      </c>
      <c r="J17" s="8" t="inlineStr">
        <is>
          <t>—</t>
        </is>
      </c>
      <c r="K17" s="8" t="inlineStr">
        <is>
          <t>—</t>
        </is>
      </c>
      <c r="L17" s="8" t="inlineStr">
        <is>
          <t>—</t>
        </is>
      </c>
      <c r="M17" s="6">
        <f>COUNTIF(D17:L17,"&gt;0")&amp;" из "&amp;COUNT(D17:L17)</f>
        <v/>
      </c>
      <c r="N17" s="9" t="n"/>
    </row>
    <row r="18">
      <c r="A18" s="2" t="inlineStr">
        <is>
          <t>Ликвидность</t>
        </is>
      </c>
      <c r="B18" s="2" t="inlineStr">
        <is>
          <t>БПИФ</t>
        </is>
      </c>
      <c r="C18" s="2" t="inlineStr">
        <is>
          <t>RUSFAR</t>
        </is>
      </c>
      <c r="D18" s="3" t="n">
        <v>0.0001519929779019158</v>
      </c>
      <c r="E18" s="3" t="n">
        <v>-4.799569756563926e-05</v>
      </c>
      <c r="F18" s="3" t="n">
        <v>-0.0002820983503200036</v>
      </c>
      <c r="G18" s="3" t="n">
        <v>-0.0009259136093417997</v>
      </c>
      <c r="H18" s="3" t="n">
        <v>-0.00204405366477789</v>
      </c>
      <c r="I18" s="3" t="n">
        <v>-0.005925449809479399</v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2">
        <f>COUNTIF(D18:L18,"&gt;0")&amp;" из "&amp;COUNT(D18:L18)</f>
        <v/>
      </c>
      <c r="N18" s="5" t="n"/>
    </row>
    <row r="19">
      <c r="A19" s="6" t="inlineStr">
        <is>
          <t>Корпоративные облигации</t>
        </is>
      </c>
      <c r="B19" s="6" t="inlineStr">
        <is>
          <t>БПИФ</t>
        </is>
      </c>
      <c r="C19" s="6" t="inlineStr">
        <is>
          <t>RUCBTRNS</t>
        </is>
      </c>
      <c r="D19" s="7" t="n">
        <v>0.004984233129379456</v>
      </c>
      <c r="E19" s="7" t="n">
        <v>0.004216565122440619</v>
      </c>
      <c r="F19" s="7" t="n">
        <v>0.006432276042389828</v>
      </c>
      <c r="G19" s="7" t="n">
        <v>0.01107062803494285</v>
      </c>
      <c r="H19" s="7" t="n">
        <v>0.01427858965119344</v>
      </c>
      <c r="I19" s="7" t="n">
        <v>0.02873230611408517</v>
      </c>
      <c r="J19" s="8" t="inlineStr">
        <is>
          <t>—</t>
        </is>
      </c>
      <c r="K19" s="8" t="inlineStr">
        <is>
          <t>—</t>
        </is>
      </c>
      <c r="L19" s="8" t="inlineStr">
        <is>
          <t>—</t>
        </is>
      </c>
      <c r="M19" s="6">
        <f>COUNTIF(D19:L19,"&gt;0")&amp;" из "&amp;COUNT(D19:L19)</f>
        <v/>
      </c>
      <c r="N19" s="9" t="n"/>
    </row>
    <row r="20">
      <c r="A20" s="2" t="inlineStr">
        <is>
          <t>Устойчивое развитие российских компаний</t>
        </is>
      </c>
      <c r="B20" s="2" t="inlineStr">
        <is>
          <t>БПИФ</t>
        </is>
      </c>
      <c r="C20" s="2" t="inlineStr">
        <is>
          <t>MRSVRT</t>
        </is>
      </c>
      <c r="D20" s="3" t="n">
        <v>0.002452173389049017</v>
      </c>
      <c r="E20" s="3" t="n">
        <v>-0.003740408443640209</v>
      </c>
      <c r="F20" s="3" t="n">
        <v>-0.02838439227550893</v>
      </c>
      <c r="G20" s="3" t="n">
        <v>-0.04540600570145403</v>
      </c>
      <c r="H20" s="3" t="n">
        <v>-0.06225584545227902</v>
      </c>
      <c r="I20" s="3" t="n">
        <v>-0.06632800481648604</v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2">
        <f>COUNTIF(D20:L20,"&gt;0")&amp;" из "&amp;COUNT(D20:L20)</f>
        <v/>
      </c>
      <c r="N20" s="5" t="n"/>
    </row>
    <row r="21">
      <c r="A21" s="6" t="inlineStr">
        <is>
          <t>Ликвидность. Юань</t>
        </is>
      </c>
      <c r="B21" s="6" t="inlineStr">
        <is>
          <t>БПИФ</t>
        </is>
      </c>
      <c r="C21" s="6" t="inlineStr">
        <is>
          <t>RUSFARCNY_RUB</t>
        </is>
      </c>
      <c r="D21" s="7" t="n">
        <v>-0.0278994215991375</v>
      </c>
      <c r="E21" s="7" t="n">
        <v>-0.02250660333567067</v>
      </c>
      <c r="F21" s="7" t="n">
        <v>-0.03200140112034067</v>
      </c>
      <c r="G21" s="7" t="n">
        <v>-0.02219411708722308</v>
      </c>
      <c r="H21" s="7" t="n">
        <v>-0.01533040595646895</v>
      </c>
      <c r="I21" s="7" t="n">
        <v>-0.05756285657346238</v>
      </c>
      <c r="J21" s="8" t="inlineStr">
        <is>
          <t>—</t>
        </is>
      </c>
      <c r="K21" s="8" t="inlineStr">
        <is>
          <t>—</t>
        </is>
      </c>
      <c r="L21" s="8" t="inlineStr">
        <is>
          <t>—</t>
        </is>
      </c>
      <c r="M21" s="6">
        <f>COUNTIF(D21:L21,"&gt;0")&amp;" из "&amp;COUNT(D21:L21)</f>
        <v/>
      </c>
      <c r="N21" s="9" t="inlineStr">
        <is>
          <t>бенчмарк переведён в рубли по курсу ЦБ; дневные TE/IR/бета искажены таймингом фиксинга</t>
        </is>
      </c>
    </row>
    <row r="23">
      <c r="A23" s="10" t="inlineStr">
        <is>
          <t>Альфа = прирост фонда − прирост бенчмарка за период (арифметическая). Конец всех периодов — 30.09.2026. «2 года» — максимальное окно данных 07.10.2024 – 30.09.2026 (1,98 г). Синий — фонд обогнал бенчмарк, красный — отстал, «—» — период не покрыт данными. Источник: выгрузка all_funds_perform_30092026.xlsx.</t>
        </is>
      </c>
    </row>
  </sheetData>
  <conditionalFormatting sqref="D2:L21">
    <cfRule type="expression" priority="1" dxfId="0">
      <formula>AND(ISNUMBER(D2),D2&gt;0)</formula>
    </cfRule>
    <cfRule type="expression" priority="2" dxfId="1">
      <formula>AND(ISNUMBER(D2),D2&lt;0)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2026-10-06T14:32:22Z</dcterms:created>
  <dcterms:modified xmlns:dcterms="http://purl.org/dc/terms/" xmlns:xsi="http://www.w3.org/2001/XMLSchema-instance" xsi:type="dcterms:W3CDTF">2026-10-06T14:32:22Z</dcterms:modified>
</cp:coreProperties>
</file>