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oaters" sheetId="1" state="visible" r:id="rId3"/>
    <sheet name="Детали" sheetId="2" state="visible" r:id="rId4"/>
    <sheet name="Параметры" sheetId="3" state="visible" r:id="rId5"/>
    <sheet name="Источник" sheetId="4" state="visible" r:id="rId6"/>
  </sheets>
  <definedNames>
    <definedName function="false" hidden="true" localSheetId="0" name="_xlnm._FilterDatabase" vbProcedure="false">Floaters!$A$1:$H$64</definedName>
    <definedName function="false" hidden="true" localSheetId="1" name="_xlnm._FilterDatabase" vbProcedure="false">Детали!$A$1:$I$64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<sst xmlns="http://schemas.openxmlformats.org/spreadsheetml/2006/main" count="557" uniqueCount="182">
  <si>
    <t xml:space="preserve">ISIN</t>
  </si>
  <si>
    <t xml:space="preserve">Дата погашения</t>
  </si>
  <si>
    <t xml:space="preserve">Маржа, п.п.</t>
  </si>
  <si>
    <t xml:space="preserve">Бенчмарк</t>
  </si>
  <si>
    <t xml:space="preserve">Price, % номинала</t>
  </si>
  <si>
    <t xml:space="preserve">x = 100*(1+база+маржа)/price</t>
  </si>
  <si>
    <t xml:space="preserve">Дата след. купона</t>
  </si>
  <si>
    <t xml:space="preserve">Лет до след. купона (от 30.09.26)</t>
  </si>
  <si>
    <t xml:space="preserve">RU000A102FE1</t>
  </si>
  <si>
    <t xml:space="preserve">G-curve (ZR_YLD_CRV)</t>
  </si>
  <si>
    <t xml:space="preserve">RU000A102QL3</t>
  </si>
  <si>
    <t xml:space="preserve">фикс. купон</t>
  </si>
  <si>
    <t xml:space="preserve">RU000A1038M5</t>
  </si>
  <si>
    <t xml:space="preserve">КС</t>
  </si>
  <si>
    <t xml:space="preserve">RU000A105W08</t>
  </si>
  <si>
    <t xml:space="preserve">RU000A106P97</t>
  </si>
  <si>
    <t xml:space="preserve">RUONIA</t>
  </si>
  <si>
    <t xml:space="preserve">RU000A106ZL5</t>
  </si>
  <si>
    <t xml:space="preserve">RU000A107UX9</t>
  </si>
  <si>
    <t xml:space="preserve">RU000A1083A6</t>
  </si>
  <si>
    <t xml:space="preserve">RU000A1083W0</t>
  </si>
  <si>
    <t xml:space="preserve">RU000A108G05</t>
  </si>
  <si>
    <t xml:space="preserve">RU000A108GL1</t>
  </si>
  <si>
    <t xml:space="preserve">RU000A108GN7</t>
  </si>
  <si>
    <t xml:space="preserve">RU000A108GR8</t>
  </si>
  <si>
    <t xml:space="preserve">RU000A108JV4</t>
  </si>
  <si>
    <t xml:space="preserve">RU000A108P61</t>
  </si>
  <si>
    <t xml:space="preserve">RU000A108Q94</t>
  </si>
  <si>
    <t xml:space="preserve">RU000A108VW7</t>
  </si>
  <si>
    <t xml:space="preserve">RU000A108WY1</t>
  </si>
  <si>
    <t xml:space="preserve">RU000A108ZH9</t>
  </si>
  <si>
    <t xml:space="preserve">RU000A1094F2</t>
  </si>
  <si>
    <t xml:space="preserve">RU000A109528</t>
  </si>
  <si>
    <t xml:space="preserve">RU000A1095W4</t>
  </si>
  <si>
    <t xml:space="preserve">RU000A1098F3</t>
  </si>
  <si>
    <t xml:space="preserve">RU000A1099E4</t>
  </si>
  <si>
    <t xml:space="preserve">RU000A109E71</t>
  </si>
  <si>
    <t xml:space="preserve">RU000A109HX2</t>
  </si>
  <si>
    <t xml:space="preserve">RU000A109JS8</t>
  </si>
  <si>
    <t xml:space="preserve">RU000A109JY6</t>
  </si>
  <si>
    <t xml:space="preserve">RU000A109JZ3</t>
  </si>
  <si>
    <t xml:space="preserve">RU000A109KW8</t>
  </si>
  <si>
    <t xml:space="preserve">RU000A109KY4</t>
  </si>
  <si>
    <t xml:space="preserve">RU000A10A349</t>
  </si>
  <si>
    <t xml:space="preserve">RU000A10AG22</t>
  </si>
  <si>
    <t xml:space="preserve">RU000A10BBD8</t>
  </si>
  <si>
    <t xml:space="preserve">RU000A10CSX8</t>
  </si>
  <si>
    <t xml:space="preserve">RU000A10DA66</t>
  </si>
  <si>
    <t xml:space="preserve">RU000A10DJR7</t>
  </si>
  <si>
    <t xml:space="preserve">RU000A10DRF5</t>
  </si>
  <si>
    <t xml:space="preserve">RU000A10DY92</t>
  </si>
  <si>
    <t xml:space="preserve">RU000A10E5X0</t>
  </si>
  <si>
    <t xml:space="preserve">RU000A10E7W8</t>
  </si>
  <si>
    <t xml:space="preserve">RU000A10EPX0</t>
  </si>
  <si>
    <t xml:space="preserve">RU000A10EQ75</t>
  </si>
  <si>
    <t xml:space="preserve">RU000A10EXK1</t>
  </si>
  <si>
    <t xml:space="preserve">RU000A10EXZ9</t>
  </si>
  <si>
    <t xml:space="preserve">RU000A10EYW4</t>
  </si>
  <si>
    <t xml:space="preserve">RU000A10F140</t>
  </si>
  <si>
    <t xml:space="preserve">RU000A10F5J8</t>
  </si>
  <si>
    <t xml:space="preserve">RU000A10F5K6</t>
  </si>
  <si>
    <t xml:space="preserve">RU000A10F5M2</t>
  </si>
  <si>
    <t xml:space="preserve">RU000A10F8N4</t>
  </si>
  <si>
    <t xml:space="preserve">RU000A10FBG2</t>
  </si>
  <si>
    <t xml:space="preserve">RU000A10FG68</t>
  </si>
  <si>
    <t xml:space="preserve">RU000A10FP91</t>
  </si>
  <si>
    <t xml:space="preserve">RU000A10FQR7</t>
  </si>
  <si>
    <t xml:space="preserve">RU000A10FWC7</t>
  </si>
  <si>
    <t xml:space="preserve">RU000A10FXN2</t>
  </si>
  <si>
    <t xml:space="preserve">RU000A10FYZ4</t>
  </si>
  <si>
    <t xml:space="preserve">RU000A10G1M0</t>
  </si>
  <si>
    <t xml:space="preserve">RU000A10G5L3</t>
  </si>
  <si>
    <t xml:space="preserve">RU000A10G635</t>
  </si>
  <si>
    <t xml:space="preserve">RU000A10G643</t>
  </si>
  <si>
    <t xml:space="preserve">RU000A10G6Z1</t>
  </si>
  <si>
    <t xml:space="preserve">Shortname</t>
  </si>
  <si>
    <t xml:space="preserve">SECID</t>
  </si>
  <si>
    <t xml:space="preserve">Тикер ISS</t>
  </si>
  <si>
    <t xml:space="preserve">Купонов в год</t>
  </si>
  <si>
    <t xml:space="preserve">Тип</t>
  </si>
  <si>
    <t xml:space="preserve">Валюта</t>
  </si>
  <si>
    <t xml:space="preserve">РЖД 1Б-06</t>
  </si>
  <si>
    <t xml:space="preserve">ZR_YLD_CRV</t>
  </si>
  <si>
    <t xml:space="preserve">До оферты (call)</t>
  </si>
  <si>
    <t xml:space="preserve">бессрочная</t>
  </si>
  <si>
    <t xml:space="preserve">RUB</t>
  </si>
  <si>
    <t xml:space="preserve">ВТБСУБТ1-2</t>
  </si>
  <si>
    <t xml:space="preserve">—</t>
  </si>
  <si>
    <t xml:space="preserve">Бессрочные</t>
  </si>
  <si>
    <t xml:space="preserve">ГТЛК 1P-20</t>
  </si>
  <si>
    <t xml:space="preserve">RREFKEYR</t>
  </si>
  <si>
    <t xml:space="preserve">До оферты (put)</t>
  </si>
  <si>
    <t xml:space="preserve">МЕТАЛИН1P4</t>
  </si>
  <si>
    <t xml:space="preserve">До погашения</t>
  </si>
  <si>
    <t xml:space="preserve">sСОПФДОМ6</t>
  </si>
  <si>
    <t xml:space="preserve">РЖД 1Р-28R</t>
  </si>
  <si>
    <t xml:space="preserve">Газпн3P11R</t>
  </si>
  <si>
    <t xml:space="preserve">НорНикБ1P7</t>
  </si>
  <si>
    <t xml:space="preserve">МТС 2P-05</t>
  </si>
  <si>
    <t xml:space="preserve">ЕврХол3P01</t>
  </si>
  <si>
    <t xml:space="preserve">Систем1P29</t>
  </si>
  <si>
    <t xml:space="preserve">Систем1P30</t>
  </si>
  <si>
    <t xml:space="preserve">Ростел1P7R</t>
  </si>
  <si>
    <t xml:space="preserve">ГазпКап3P2</t>
  </si>
  <si>
    <t xml:space="preserve">РСетиМР1P6</t>
  </si>
  <si>
    <t xml:space="preserve">Мегафон2P5</t>
  </si>
  <si>
    <t xml:space="preserve">РУСАЛ 1Р9</t>
  </si>
  <si>
    <t xml:space="preserve">МЕТАЛИН1P8</t>
  </si>
  <si>
    <t xml:space="preserve">Славнеф2Р5</t>
  </si>
  <si>
    <t xml:space="preserve">ЧеркизБ1P7</t>
  </si>
  <si>
    <t xml:space="preserve">Россет1Р13</t>
  </si>
  <si>
    <t xml:space="preserve">Ростел1P9R</t>
  </si>
  <si>
    <t xml:space="preserve">Систем1P31</t>
  </si>
  <si>
    <t xml:space="preserve">МОЭ 1Р01</t>
  </si>
  <si>
    <t xml:space="preserve">ТрансКо2P1</t>
  </si>
  <si>
    <t xml:space="preserve">iВУШ 1P3</t>
  </si>
  <si>
    <t xml:space="preserve">РостелP11R</t>
  </si>
  <si>
    <t xml:space="preserve">РУСАЛ 1Р11</t>
  </si>
  <si>
    <t xml:space="preserve">РУСАЛ 1Р10</t>
  </si>
  <si>
    <t xml:space="preserve">НКНХ 1Р-03</t>
  </si>
  <si>
    <t xml:space="preserve">АФБАНК1Р13</t>
  </si>
  <si>
    <t xml:space="preserve">РусГид2Р01</t>
  </si>
  <si>
    <t xml:space="preserve">ЕСЭГ1PC6</t>
  </si>
  <si>
    <t xml:space="preserve">ЯТЭК 1P-6</t>
  </si>
  <si>
    <t xml:space="preserve">ИКС5Фи3P14</t>
  </si>
  <si>
    <t xml:space="preserve">Газпнф5P2R</t>
  </si>
  <si>
    <t xml:space="preserve">РЖД 1Р-49R</t>
  </si>
  <si>
    <t xml:space="preserve">Газпнф5P3R</t>
  </si>
  <si>
    <t xml:space="preserve">АЛРОСА2Р1</t>
  </si>
  <si>
    <t xml:space="preserve">РусГид2Р11</t>
  </si>
  <si>
    <t xml:space="preserve">МЕТИН2P04</t>
  </si>
  <si>
    <t xml:space="preserve">РусГид2Р12</t>
  </si>
  <si>
    <t xml:space="preserve">ЕврХол3P06</t>
  </si>
  <si>
    <t xml:space="preserve">МэйлБ1Р3</t>
  </si>
  <si>
    <t xml:space="preserve">Озон 1P-02</t>
  </si>
  <si>
    <t xml:space="preserve">ПГК3Р05</t>
  </si>
  <si>
    <t xml:space="preserve">sСОПФДОМ16</t>
  </si>
  <si>
    <t xml:space="preserve">ВТБСУБТ1Р1</t>
  </si>
  <si>
    <t xml:space="preserve">ВТБСУБТ1Р2</t>
  </si>
  <si>
    <t xml:space="preserve">ВТБСУБТ1Р3</t>
  </si>
  <si>
    <t xml:space="preserve">МТС 3Р-02</t>
  </si>
  <si>
    <t xml:space="preserve">ТрансмхПБ8</t>
  </si>
  <si>
    <t xml:space="preserve">ОДК1Р04</t>
  </si>
  <si>
    <t xml:space="preserve">Атомэнпр17</t>
  </si>
  <si>
    <t xml:space="preserve">РВК-Ин1Р02</t>
  </si>
  <si>
    <t xml:space="preserve">ТрансКо2P4</t>
  </si>
  <si>
    <t xml:space="preserve">ГМС002Р-02</t>
  </si>
  <si>
    <t xml:space="preserve">ДелПорт1P6</t>
  </si>
  <si>
    <t xml:space="preserve">АЛРОСА2Р3</t>
  </si>
  <si>
    <t xml:space="preserve">ГПН005Р-11</t>
  </si>
  <si>
    <t xml:space="preserve">МэйлБ1Р4</t>
  </si>
  <si>
    <t xml:space="preserve">sСОПФДОМ17</t>
  </si>
  <si>
    <t xml:space="preserve">ЧеркизБ2P6</t>
  </si>
  <si>
    <t xml:space="preserve">Параметр</t>
  </si>
  <si>
    <t xml:space="preserve">Значение</t>
  </si>
  <si>
    <t xml:space="preserve">База, % (ключевая ставка в формуле)</t>
  </si>
  <si>
    <t xml:space="preserve">Надбавка в формуле («1»)</t>
  </si>
  <si>
    <t xml:space="preserve">Дата отсчёта для срока до купона</t>
  </si>
  <si>
    <t xml:space="preserve">Формула x</t>
  </si>
  <si>
    <t xml:space="preserve">x = 100 * (надбавка + база + маржа) / price</t>
  </si>
  <si>
    <t xml:space="preserve">Формула срока</t>
  </si>
  <si>
    <t xml:space="preserve">срок = (дата купона − дата отсчёта) / 365</t>
  </si>
  <si>
    <t xml:space="preserve">Поле</t>
  </si>
  <si>
    <t xml:space="preserve">Пояснение</t>
  </si>
  <si>
    <t xml:space="preserve">Источник</t>
  </si>
  <si>
    <t xml:space="preserve">ISS МосБиржи, iss.moex.com, выгружено 09.10.2026. Price — из присланного файла bonds_for_buls.xlsx, не из ISS</t>
  </si>
  <si>
    <t xml:space="preserve">Маржа и бенчмарк</t>
  </si>
  <si>
    <t xml:space="preserve">/iss/securities/{SECID}.json?iss.only=description -&gt; COUPON_BENCHMARK, COUPON_BENCHMARK_SPREAD</t>
  </si>
  <si>
    <t xml:space="preserve">/iss/securities/{SECID}/bondization.json?iss.only=coupons -&gt; первая coupondate строго позже 30.09.2026. Это не текущий COUPONDATE из снимка рынка: у 11 бумаг купон уже прошёл между 30.09 и сегодня, и снимок показал бы следующий</t>
  </si>
  <si>
    <t xml:space="preserve">x</t>
  </si>
  <si>
    <t xml:space="preserve">Формула буквально как в запросе: 100*(1+14+маржа)/price. Надбавка «1» и база 14 вынесены на лист «Параметры» — правятся в одном месте. Единицы в формуле смешаны: 14 и маржа в п.п., «1» без размерности; если имелось в виду (1 + (14+маржа)/100), результат другой</t>
  </si>
  <si>
    <t xml:space="preserve">Лет до купона</t>
  </si>
  <si>
    <t xml:space="preserve">ACT/365 от 30.09.2026 до даты купона</t>
  </si>
  <si>
    <t xml:space="preserve">Без маржи</t>
  </si>
  <si>
    <t xml:space="preserve">ВТБСУБТ1-2, ВТБСУБТ1Р1, ВТБСУБТ1Р2, ВТБСУБТ1Р3 — BOND_TYPE «фиксированный (известный) купон», COUPON_BENCHMARK пуст. Это не пропуск выгрузки: маржи у них нет, x не считается</t>
  </si>
  <si>
    <t xml:space="preserve">Нестандартный бенчмарк</t>
  </si>
  <si>
    <t xml:space="preserve">РЖД 1Б-06 (RU000A102FE1): база — кривая бескупонной доходности (ZR_YLD_CRV), маржа 2.25. Подстановка 14 как базы к нему не относится, x по нему считается механически</t>
  </si>
  <si>
    <t xml:space="preserve">У 5 бумаг MATDATE в ISS отсутствует (4 суборда ВТБ + РЖД 1Б-06 с call). Ячейка даты погашения пуста</t>
  </si>
  <si>
    <t xml:space="preserve">Оферты</t>
  </si>
  <si>
    <t xml:space="preserve">У 9 выпусков «До оферты (put)» и у 1 «До оферты (call)»: дата погашения юридическая, фактический горизонт короче. См. лист «Детали»</t>
  </si>
  <si>
    <t xml:space="preserve">Чего в ISS нет</t>
  </si>
  <si>
    <t xml:space="preserve">Способ усреднения бенчмарка, лаг фиксации, day-count, округление, cap/floor — только benchmark + spread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</si>
</sst>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dd\.mm\.yyyy"/>
    <numFmt numFmtId="168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5"/>
    <col collapsed="false" customWidth="true" hidden="false" outlineLevel="0" max="3" min="3" style="1" width="11"/>
    <col collapsed="false" customWidth="true" hidden="false" outlineLevel="0" max="4" min="4" style="1" width="21"/>
    <col collapsed="false" customWidth="true" hidden="false" outlineLevel="0" max="5" min="5" style="1" width="12"/>
    <col collapsed="false" customWidth="true" hidden="false" outlineLevel="0" max="7" min="6" style="1" width="15"/>
    <col collapsed="false" customWidth="true" hidden="false" outlineLevel="0" max="8" min="8" style="1" width="16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4"/>
      <c r="C2" s="5" t="n">
        <v>2.25</v>
      </c>
      <c r="D2" s="4" t="s">
        <v>9</v>
      </c>
      <c r="E2" s="5" t="n">
        <v>84.42</v>
      </c>
      <c r="F2" s="6" t="n">
        <f aca="false">IF(C2="","",100*(Параметры!$B$3+Параметры!$B$2+C2)/E2)</f>
        <v>20.4335465529495</v>
      </c>
      <c r="G2" s="7" t="n">
        <v>46475</v>
      </c>
      <c r="H2" s="8" t="n">
        <f aca="false">(G2-Параметры!$B$4)/365</f>
        <v>0.493150684931507</v>
      </c>
    </row>
    <row r="3" customFormat="false" ht="15" hidden="false" customHeight="true" outlineLevel="0" collapsed="false">
      <c r="A3" s="3" t="s">
        <v>10</v>
      </c>
      <c r="B3" s="4"/>
      <c r="C3" s="9"/>
      <c r="D3" s="4" t="s">
        <v>11</v>
      </c>
      <c r="E3" s="5" t="n">
        <v>68</v>
      </c>
      <c r="F3" s="6" t="str">
        <f aca="false">IF(C3="","",100*(Параметры!$B$3+Параметры!$B$2+C3)/E3)</f>
        <v/>
      </c>
      <c r="G3" s="7" t="n">
        <v>46419</v>
      </c>
      <c r="H3" s="8" t="n">
        <f aca="false">(G3-Параметры!$B$4)/365</f>
        <v>0.33972602739726</v>
      </c>
    </row>
    <row r="4" customFormat="false" ht="15" hidden="false" customHeight="true" outlineLevel="0" collapsed="false">
      <c r="A4" s="3" t="s">
        <v>12</v>
      </c>
      <c r="B4" s="7" t="n">
        <v>49823</v>
      </c>
      <c r="C4" s="5" t="n">
        <v>2.15</v>
      </c>
      <c r="D4" s="4" t="s">
        <v>13</v>
      </c>
      <c r="E4" s="5" t="n">
        <v>95.99</v>
      </c>
      <c r="F4" s="6" t="n">
        <f aca="false">IF(C4="","",100*(Параметры!$B$3+Параметры!$B$2+C4)/E4)</f>
        <v>17.8664444212939</v>
      </c>
      <c r="G4" s="7" t="n">
        <v>46365</v>
      </c>
      <c r="H4" s="8" t="n">
        <f aca="false">(G4-Параметры!$B$4)/365</f>
        <v>0.191780821917808</v>
      </c>
    </row>
    <row r="5" customFormat="false" ht="15" hidden="false" customHeight="true" outlineLevel="0" collapsed="false">
      <c r="A5" s="3" t="s">
        <v>14</v>
      </c>
      <c r="B5" s="7" t="n">
        <v>46435</v>
      </c>
      <c r="C5" s="5" t="n">
        <v>1.3</v>
      </c>
      <c r="D5" s="4" t="s">
        <v>13</v>
      </c>
      <c r="E5" s="5" t="n">
        <v>99.99</v>
      </c>
      <c r="F5" s="6" t="n">
        <f aca="false">IF(C5="","",100*(Параметры!$B$3+Параметры!$B$2+C5)/E5)</f>
        <v>16.3016301630163</v>
      </c>
      <c r="G5" s="7" t="n">
        <v>46435</v>
      </c>
      <c r="H5" s="8" t="n">
        <f aca="false">(G5-Параметры!$B$4)/365</f>
        <v>0.383561643835616</v>
      </c>
    </row>
    <row r="6" customFormat="false" ht="15" hidden="false" customHeight="true" outlineLevel="0" collapsed="false">
      <c r="A6" s="3" t="s">
        <v>15</v>
      </c>
      <c r="B6" s="7" t="n">
        <v>46625</v>
      </c>
      <c r="C6" s="5" t="n">
        <v>1.3</v>
      </c>
      <c r="D6" s="4" t="s">
        <v>16</v>
      </c>
      <c r="E6" s="5" t="n">
        <v>99.71</v>
      </c>
      <c r="F6" s="6" t="n">
        <f aca="false">IF(C6="","",100*(Параметры!$B$3+Параметры!$B$2+C6)/E6)</f>
        <v>16.3474074816969</v>
      </c>
      <c r="G6" s="7" t="n">
        <v>46352</v>
      </c>
      <c r="H6" s="8" t="n">
        <f aca="false">(G6-Параметры!$B$4)/365</f>
        <v>0.156164383561644</v>
      </c>
    </row>
    <row r="7" customFormat="false" ht="15" hidden="false" customHeight="true" outlineLevel="0" collapsed="false">
      <c r="A7" s="3" t="s">
        <v>17</v>
      </c>
      <c r="B7" s="7" t="n">
        <v>47746</v>
      </c>
      <c r="C7" s="5" t="n">
        <v>1.2</v>
      </c>
      <c r="D7" s="4" t="s">
        <v>16</v>
      </c>
      <c r="E7" s="5" t="n">
        <v>98.4</v>
      </c>
      <c r="F7" s="6" t="n">
        <f aca="false">IF(C7="","",100*(Параметры!$B$3+Параметры!$B$2+C7)/E7)</f>
        <v>16.4634146341463</v>
      </c>
      <c r="G7" s="7" t="n">
        <v>46320</v>
      </c>
      <c r="H7" s="8" t="n">
        <f aca="false">(G7-Параметры!$B$4)/365</f>
        <v>0.0684931506849315</v>
      </c>
    </row>
    <row r="8" customFormat="false" ht="15" hidden="false" customHeight="true" outlineLevel="0" collapsed="false">
      <c r="A8" s="3" t="s">
        <v>18</v>
      </c>
      <c r="B8" s="7" t="n">
        <v>46442</v>
      </c>
      <c r="C8" s="5" t="n">
        <v>1.4</v>
      </c>
      <c r="D8" s="4" t="s">
        <v>16</v>
      </c>
      <c r="E8" s="5" t="n">
        <v>100.15</v>
      </c>
      <c r="F8" s="6" t="n">
        <f aca="false">IF(C8="","",100*(Параметры!$B$3+Параметры!$B$2+C8)/E8)</f>
        <v>16.3754368447329</v>
      </c>
      <c r="G8" s="7" t="n">
        <v>46351</v>
      </c>
      <c r="H8" s="8" t="n">
        <f aca="false">(G8-Параметры!$B$4)/365</f>
        <v>0.153424657534247</v>
      </c>
    </row>
    <row r="9" customFormat="false" ht="15" hidden="false" customHeight="true" outlineLevel="0" collapsed="false">
      <c r="A9" s="3" t="s">
        <v>19</v>
      </c>
      <c r="B9" s="7" t="n">
        <v>47177</v>
      </c>
      <c r="C9" s="5" t="n">
        <v>1.3</v>
      </c>
      <c r="D9" s="4" t="s">
        <v>13</v>
      </c>
      <c r="E9" s="5" t="n">
        <v>100.2</v>
      </c>
      <c r="F9" s="6" t="n">
        <f aca="false">IF(C9="","",100*(Параметры!$B$3+Параметры!$B$2+C9)/E9)</f>
        <v>16.2674650698603</v>
      </c>
      <c r="G9" s="7" t="n">
        <v>46307</v>
      </c>
      <c r="H9" s="8" t="n">
        <f aca="false">(G9-Параметры!$B$4)/365</f>
        <v>0.0328767123287671</v>
      </c>
    </row>
    <row r="10" customFormat="false" ht="15" hidden="false" customHeight="true" outlineLevel="0" collapsed="false">
      <c r="A10" s="3" t="s">
        <v>20</v>
      </c>
      <c r="B10" s="7" t="n">
        <v>46653</v>
      </c>
      <c r="C10" s="5" t="n">
        <v>1.3</v>
      </c>
      <c r="D10" s="4" t="s">
        <v>13</v>
      </c>
      <c r="E10" s="5" t="n">
        <v>99.92</v>
      </c>
      <c r="F10" s="6" t="n">
        <f aca="false">IF(C10="","",100*(Параметры!$B$3+Параметры!$B$2+C10)/E10)</f>
        <v>16.3130504403523</v>
      </c>
      <c r="G10" s="7" t="n">
        <v>46380</v>
      </c>
      <c r="H10" s="8" t="n">
        <f aca="false">(G10-Параметры!$B$4)/365</f>
        <v>0.232876712328767</v>
      </c>
    </row>
    <row r="11" customFormat="false" ht="15" hidden="false" customHeight="true" outlineLevel="0" collapsed="false">
      <c r="A11" s="3" t="s">
        <v>21</v>
      </c>
      <c r="B11" s="7" t="n">
        <v>46333</v>
      </c>
      <c r="C11" s="5" t="n">
        <v>1.3</v>
      </c>
      <c r="D11" s="4" t="s">
        <v>13</v>
      </c>
      <c r="E11" s="5" t="n">
        <v>99.98</v>
      </c>
      <c r="F11" s="6" t="n">
        <f aca="false">IF(C11="","",100*(Параметры!$B$3+Параметры!$B$2+C11)/E11)</f>
        <v>16.3032606521304</v>
      </c>
      <c r="G11" s="7" t="n">
        <v>46303</v>
      </c>
      <c r="H11" s="8" t="n">
        <f aca="false">(G11-Параметры!$B$4)/365</f>
        <v>0.0219178082191781</v>
      </c>
    </row>
    <row r="12" customFormat="false" ht="15" hidden="false" customHeight="true" outlineLevel="0" collapsed="false">
      <c r="A12" s="3" t="s">
        <v>22</v>
      </c>
      <c r="B12" s="7" t="n">
        <v>46891</v>
      </c>
      <c r="C12" s="5" t="n">
        <v>2.4</v>
      </c>
      <c r="D12" s="4" t="s">
        <v>16</v>
      </c>
      <c r="E12" s="5" t="n">
        <v>87.55</v>
      </c>
      <c r="F12" s="6" t="n">
        <f aca="false">IF(C12="","",100*(Параметры!$B$3+Параметры!$B$2+C12)/E12)</f>
        <v>19.8743575099943</v>
      </c>
      <c r="G12" s="7" t="n">
        <v>46345</v>
      </c>
      <c r="H12" s="8" t="n">
        <f aca="false">(G12-Параметры!$B$4)/365</f>
        <v>0.136986301369863</v>
      </c>
    </row>
    <row r="13" customFormat="false" ht="15" hidden="false" customHeight="true" outlineLevel="0" collapsed="false">
      <c r="A13" s="3" t="s">
        <v>23</v>
      </c>
      <c r="B13" s="7" t="n">
        <v>46982</v>
      </c>
      <c r="C13" s="5" t="n">
        <v>2.2</v>
      </c>
      <c r="D13" s="4" t="s">
        <v>13</v>
      </c>
      <c r="E13" s="5" t="n">
        <v>86.39</v>
      </c>
      <c r="F13" s="6" t="n">
        <f aca="false">IF(C13="","",100*(Параметры!$B$3+Параметры!$B$2+C13)/E13)</f>
        <v>19.9097117721959</v>
      </c>
      <c r="G13" s="7" t="n">
        <v>46345</v>
      </c>
      <c r="H13" s="8" t="n">
        <f aca="false">(G13-Параметры!$B$4)/365</f>
        <v>0.136986301369863</v>
      </c>
    </row>
    <row r="14" customFormat="false" ht="15" hidden="false" customHeight="true" outlineLevel="0" collapsed="false">
      <c r="A14" s="3" t="s">
        <v>24</v>
      </c>
      <c r="B14" s="7" t="n">
        <v>46527</v>
      </c>
      <c r="C14" s="5" t="n">
        <v>1.2</v>
      </c>
      <c r="D14" s="4" t="s">
        <v>13</v>
      </c>
      <c r="E14" s="5" t="n">
        <v>100.01</v>
      </c>
      <c r="F14" s="6" t="n">
        <f aca="false">IF(C14="","",100*(Параметры!$B$3+Параметры!$B$2+C14)/E14)</f>
        <v>16.1983801619838</v>
      </c>
      <c r="G14" s="7" t="n">
        <v>46345</v>
      </c>
      <c r="H14" s="8" t="n">
        <f aca="false">(G14-Параметры!$B$4)/365</f>
        <v>0.136986301369863</v>
      </c>
    </row>
    <row r="15" customFormat="false" ht="15" hidden="false" customHeight="true" outlineLevel="0" collapsed="false">
      <c r="A15" s="3" t="s">
        <v>25</v>
      </c>
      <c r="B15" s="7" t="n">
        <v>46880</v>
      </c>
      <c r="C15" s="5" t="n">
        <v>1.25</v>
      </c>
      <c r="D15" s="4" t="s">
        <v>13</v>
      </c>
      <c r="E15" s="5" t="n">
        <v>99.96</v>
      </c>
      <c r="F15" s="6" t="n">
        <f aca="false">IF(C15="","",100*(Параметры!$B$3+Параметры!$B$2+C15)/E15)</f>
        <v>16.2565026010404</v>
      </c>
      <c r="G15" s="7" t="n">
        <v>46310</v>
      </c>
      <c r="H15" s="8" t="n">
        <f aca="false">(G15-Параметры!$B$4)/365</f>
        <v>0.0410958904109589</v>
      </c>
    </row>
    <row r="16" customFormat="false" ht="15" hidden="false" customHeight="true" outlineLevel="0" collapsed="false">
      <c r="A16" s="3" t="s">
        <v>26</v>
      </c>
      <c r="B16" s="7" t="n">
        <v>46537</v>
      </c>
      <c r="C16" s="5" t="n">
        <v>1.15</v>
      </c>
      <c r="D16" s="4" t="s">
        <v>13</v>
      </c>
      <c r="E16" s="5" t="n">
        <v>100.2</v>
      </c>
      <c r="F16" s="6" t="n">
        <f aca="false">IF(C16="","",100*(Параметры!$B$3+Параметры!$B$2+C16)/E16)</f>
        <v>16.1177644710579</v>
      </c>
      <c r="G16" s="7" t="n">
        <v>46297</v>
      </c>
      <c r="H16" s="8" t="n">
        <f aca="false">(G16-Параметры!$B$4)/365</f>
        <v>0.00547945205479452</v>
      </c>
    </row>
    <row r="17" customFormat="false" ht="15" hidden="false" customHeight="true" outlineLevel="0" collapsed="false">
      <c r="A17" s="3" t="s">
        <v>27</v>
      </c>
      <c r="B17" s="7" t="n">
        <v>46431</v>
      </c>
      <c r="C17" s="5" t="n">
        <v>1.1</v>
      </c>
      <c r="D17" s="4" t="s">
        <v>13</v>
      </c>
      <c r="E17" s="5" t="n">
        <v>100.03</v>
      </c>
      <c r="F17" s="6" t="n">
        <f aca="false">IF(C17="","",100*(Параметры!$B$3+Параметры!$B$2+C17)/E17)</f>
        <v>16.0951714485654</v>
      </c>
      <c r="G17" s="7" t="n">
        <v>46371</v>
      </c>
      <c r="H17" s="8" t="n">
        <f aca="false">(G17-Параметры!$B$4)/365</f>
        <v>0.208219178082192</v>
      </c>
    </row>
    <row r="18" customFormat="false" ht="15" hidden="false" customHeight="true" outlineLevel="0" collapsed="false">
      <c r="A18" s="3" t="s">
        <v>28</v>
      </c>
      <c r="B18" s="7" t="n">
        <v>46555</v>
      </c>
      <c r="C18" s="5" t="n">
        <v>2.2</v>
      </c>
      <c r="D18" s="4" t="s">
        <v>13</v>
      </c>
      <c r="E18" s="5" t="n">
        <v>100.15</v>
      </c>
      <c r="F18" s="6" t="n">
        <f aca="false">IF(C18="","",100*(Параметры!$B$3+Параметры!$B$2+C18)/E18)</f>
        <v>17.1742386420369</v>
      </c>
      <c r="G18" s="7" t="n">
        <v>46315</v>
      </c>
      <c r="H18" s="8" t="n">
        <f aca="false">(G18-Параметры!$B$4)/365</f>
        <v>0.0547945205479452</v>
      </c>
    </row>
    <row r="19" customFormat="false" ht="15" hidden="false" customHeight="true" outlineLevel="0" collapsed="false">
      <c r="A19" s="3" t="s">
        <v>29</v>
      </c>
      <c r="B19" s="7" t="n">
        <v>46388</v>
      </c>
      <c r="C19" s="5" t="n">
        <v>1.05</v>
      </c>
      <c r="D19" s="4" t="s">
        <v>13</v>
      </c>
      <c r="E19" s="5" t="n">
        <v>99.81</v>
      </c>
      <c r="F19" s="6" t="n">
        <f aca="false">IF(C19="","",100*(Параметры!$B$3+Параметры!$B$2+C19)/E19)</f>
        <v>16.0805530507965</v>
      </c>
      <c r="G19" s="7" t="n">
        <v>46297</v>
      </c>
      <c r="H19" s="8" t="n">
        <f aca="false">(G19-Параметры!$B$4)/365</f>
        <v>0.00547945205479452</v>
      </c>
    </row>
    <row r="20" customFormat="false" ht="15" hidden="false" customHeight="true" outlineLevel="0" collapsed="false">
      <c r="A20" s="3" t="s">
        <v>30</v>
      </c>
      <c r="B20" s="7" t="n">
        <v>49079</v>
      </c>
      <c r="C20" s="5" t="n">
        <v>1.4</v>
      </c>
      <c r="D20" s="4" t="s">
        <v>13</v>
      </c>
      <c r="E20" s="5" t="n">
        <v>99.92</v>
      </c>
      <c r="F20" s="6" t="n">
        <f aca="false">IF(C20="","",100*(Параметры!$B$3+Параметры!$B$2+C20)/E20)</f>
        <v>16.4131305044035</v>
      </c>
      <c r="G20" s="7" t="n">
        <v>46319</v>
      </c>
      <c r="H20" s="8" t="n">
        <f aca="false">(G20-Параметры!$B$4)/365</f>
        <v>0.0657534246575342</v>
      </c>
    </row>
    <row r="21" customFormat="false" ht="15" hidden="false" customHeight="true" outlineLevel="0" collapsed="false">
      <c r="A21" s="3" t="s">
        <v>31</v>
      </c>
      <c r="B21" s="7" t="n">
        <v>46583</v>
      </c>
      <c r="C21" s="5" t="n">
        <v>1.35</v>
      </c>
      <c r="D21" s="4" t="s">
        <v>13</v>
      </c>
      <c r="E21" s="5" t="n">
        <v>100.27</v>
      </c>
      <c r="F21" s="6" t="n">
        <f aca="false">IF(C21="","",100*(Параметры!$B$3+Параметры!$B$2+C21)/E21)</f>
        <v>16.3059738705495</v>
      </c>
      <c r="G21" s="7" t="n">
        <v>46313</v>
      </c>
      <c r="H21" s="8" t="n">
        <f aca="false">(G21-Параметры!$B$4)/365</f>
        <v>0.0493150684931507</v>
      </c>
    </row>
    <row r="22" customFormat="false" ht="15" hidden="false" customHeight="true" outlineLevel="0" collapsed="false">
      <c r="A22" s="3" t="s">
        <v>32</v>
      </c>
      <c r="B22" s="7" t="n">
        <v>46586</v>
      </c>
      <c r="C22" s="5" t="n">
        <v>1</v>
      </c>
      <c r="D22" s="4" t="s">
        <v>13</v>
      </c>
      <c r="E22" s="5" t="n">
        <v>100.14</v>
      </c>
      <c r="F22" s="6" t="n">
        <f aca="false">IF(C22="","",100*(Параметры!$B$3+Параметры!$B$2+C22)/E22)</f>
        <v>15.9776313161574</v>
      </c>
      <c r="G22" s="7" t="n">
        <v>46316</v>
      </c>
      <c r="H22" s="8" t="n">
        <f aca="false">(G22-Параметры!$B$4)/365</f>
        <v>0.0575342465753425</v>
      </c>
    </row>
    <row r="23" customFormat="false" ht="15" hidden="false" customHeight="true" outlineLevel="0" collapsed="false">
      <c r="A23" s="3" t="s">
        <v>33</v>
      </c>
      <c r="B23" s="7" t="n">
        <v>46603</v>
      </c>
      <c r="C23" s="5" t="n">
        <v>1.15</v>
      </c>
      <c r="D23" s="4" t="s">
        <v>13</v>
      </c>
      <c r="E23" s="5" t="n">
        <v>100.1</v>
      </c>
      <c r="F23" s="6" t="n">
        <f aca="false">IF(C23="","",100*(Параметры!$B$3+Параметры!$B$2+C23)/E23)</f>
        <v>16.1338661338661</v>
      </c>
      <c r="G23" s="7" t="n">
        <v>46330</v>
      </c>
      <c r="H23" s="8" t="n">
        <f aca="false">(G23-Параметры!$B$4)/365</f>
        <v>0.0958904109589041</v>
      </c>
    </row>
    <row r="24" customFormat="false" ht="15" hidden="false" customHeight="true" outlineLevel="0" collapsed="false">
      <c r="A24" s="3" t="s">
        <v>34</v>
      </c>
      <c r="B24" s="7" t="n">
        <v>47065</v>
      </c>
      <c r="C24" s="5" t="n">
        <v>2.2</v>
      </c>
      <c r="D24" s="4" t="s">
        <v>13</v>
      </c>
      <c r="E24" s="5" t="n">
        <v>86.16</v>
      </c>
      <c r="F24" s="6" t="n">
        <f aca="false">IF(C24="","",100*(Параметры!$B$3+Параметры!$B$2+C24)/E24)</f>
        <v>19.9628597957289</v>
      </c>
      <c r="G24" s="7" t="n">
        <v>46337</v>
      </c>
      <c r="H24" s="8" t="n">
        <f aca="false">(G24-Параметры!$B$4)/365</f>
        <v>0.115068493150685</v>
      </c>
    </row>
    <row r="25" customFormat="false" ht="15" hidden="false" customHeight="true" outlineLevel="0" collapsed="false">
      <c r="A25" s="3" t="s">
        <v>35</v>
      </c>
      <c r="B25" s="7" t="n">
        <v>47324</v>
      </c>
      <c r="C25" s="5" t="n">
        <v>1.4</v>
      </c>
      <c r="D25" s="4" t="s">
        <v>13</v>
      </c>
      <c r="E25" s="5" t="n">
        <v>100.36</v>
      </c>
      <c r="F25" s="6" t="n">
        <f aca="false">IF(C25="","",100*(Параметры!$B$3+Параметры!$B$2+C25)/E25)</f>
        <v>16.3411717815863</v>
      </c>
      <c r="G25" s="7" t="n">
        <v>46304</v>
      </c>
      <c r="H25" s="8" t="n">
        <f aca="false">(G25-Параметры!$B$4)/365</f>
        <v>0.0246575342465753</v>
      </c>
    </row>
    <row r="26" customFormat="false" ht="15" hidden="false" customHeight="true" outlineLevel="0" collapsed="false">
      <c r="A26" s="3" t="s">
        <v>36</v>
      </c>
      <c r="B26" s="7" t="n">
        <v>46619</v>
      </c>
      <c r="C26" s="5" t="n">
        <v>1.75</v>
      </c>
      <c r="D26" s="4" t="s">
        <v>13</v>
      </c>
      <c r="E26" s="5" t="n">
        <v>98.49</v>
      </c>
      <c r="F26" s="6" t="n">
        <f aca="false">IF(C26="","",100*(Параметры!$B$3+Параметры!$B$2+C26)/E26)</f>
        <v>17.0068027210884</v>
      </c>
      <c r="G26" s="7" t="n">
        <v>46319</v>
      </c>
      <c r="H26" s="8" t="n">
        <f aca="false">(G26-Параметры!$B$4)/365</f>
        <v>0.0657534246575342</v>
      </c>
    </row>
    <row r="27" customFormat="false" ht="15" hidden="false" customHeight="true" outlineLevel="0" collapsed="false">
      <c r="A27" s="3" t="s">
        <v>37</v>
      </c>
      <c r="B27" s="7" t="n">
        <v>46627</v>
      </c>
      <c r="C27" s="5" t="n">
        <v>2.5</v>
      </c>
      <c r="D27" s="4" t="s">
        <v>13</v>
      </c>
      <c r="E27" s="5" t="n">
        <v>87.89</v>
      </c>
      <c r="F27" s="6" t="n">
        <f aca="false">IF(C27="","",100*(Параметры!$B$3+Параметры!$B$2+C27)/E27)</f>
        <v>19.9112527022414</v>
      </c>
      <c r="G27" s="7" t="n">
        <v>46297</v>
      </c>
      <c r="H27" s="8" t="n">
        <f aca="false">(G27-Параметры!$B$4)/365</f>
        <v>0.00547945205479452</v>
      </c>
    </row>
    <row r="28" customFormat="false" ht="15" hidden="false" customHeight="true" outlineLevel="0" collapsed="false">
      <c r="A28" s="3" t="s">
        <v>38</v>
      </c>
      <c r="B28" s="7" t="n">
        <v>46643</v>
      </c>
      <c r="C28" s="5" t="n">
        <v>1.2</v>
      </c>
      <c r="D28" s="4" t="s">
        <v>13</v>
      </c>
      <c r="E28" s="5" t="n">
        <v>100.17</v>
      </c>
      <c r="F28" s="6" t="n">
        <f aca="false">IF(C28="","",100*(Параметры!$B$3+Параметры!$B$2+C28)/E28)</f>
        <v>16.1725067385445</v>
      </c>
      <c r="G28" s="7" t="n">
        <v>46370</v>
      </c>
      <c r="H28" s="8" t="n">
        <f aca="false">(G28-Параметры!$B$4)/365</f>
        <v>0.205479452054795</v>
      </c>
    </row>
    <row r="29" customFormat="false" ht="15" hidden="false" customHeight="true" outlineLevel="0" collapsed="false">
      <c r="A29" s="3" t="s">
        <v>39</v>
      </c>
      <c r="B29" s="7" t="n">
        <v>47352</v>
      </c>
      <c r="C29" s="5" t="n">
        <v>2.5</v>
      </c>
      <c r="D29" s="4" t="s">
        <v>13</v>
      </c>
      <c r="E29" s="5" t="n">
        <v>100.72</v>
      </c>
      <c r="F29" s="6" t="n">
        <f aca="false">IF(C29="","",100*(Параметры!$B$3+Параметры!$B$2+C29)/E29)</f>
        <v>17.3749007148531</v>
      </c>
      <c r="G29" s="7" t="n">
        <v>46302</v>
      </c>
      <c r="H29" s="8" t="n">
        <f aca="false">(G29-Параметры!$B$4)/365</f>
        <v>0.0191780821917808</v>
      </c>
    </row>
    <row r="30" customFormat="false" ht="15" hidden="false" customHeight="true" outlineLevel="0" collapsed="false">
      <c r="A30" s="3" t="s">
        <v>40</v>
      </c>
      <c r="B30" s="7" t="n">
        <v>46452</v>
      </c>
      <c r="C30" s="5" t="n">
        <v>2.25</v>
      </c>
      <c r="D30" s="4" t="s">
        <v>13</v>
      </c>
      <c r="E30" s="5" t="n">
        <v>100.57</v>
      </c>
      <c r="F30" s="6" t="n">
        <f aca="false">IF(C30="","",100*(Параметры!$B$3+Параметры!$B$2+C30)/E30)</f>
        <v>17.1522322760267</v>
      </c>
      <c r="G30" s="7" t="n">
        <v>46302</v>
      </c>
      <c r="H30" s="8" t="n">
        <f aca="false">(G30-Параметры!$B$4)/365</f>
        <v>0.0191780821917808</v>
      </c>
    </row>
    <row r="31" customFormat="false" ht="15" hidden="false" customHeight="true" outlineLevel="0" collapsed="false">
      <c r="A31" s="3" t="s">
        <v>41</v>
      </c>
      <c r="B31" s="7" t="n">
        <v>48075</v>
      </c>
      <c r="C31" s="5" t="n">
        <v>1.2</v>
      </c>
      <c r="D31" s="4" t="s">
        <v>13</v>
      </c>
      <c r="E31" s="5" t="n">
        <v>99.49</v>
      </c>
      <c r="F31" s="6" t="n">
        <f aca="false">IF(C31="","",100*(Параметры!$B$3+Параметры!$B$2+C31)/E31)</f>
        <v>16.283043521962</v>
      </c>
      <c r="G31" s="7" t="n">
        <v>46305</v>
      </c>
      <c r="H31" s="8" t="n">
        <f aca="false">(G31-Параметры!$B$4)/365</f>
        <v>0.0273972602739726</v>
      </c>
    </row>
    <row r="32" customFormat="false" ht="15" hidden="false" customHeight="true" outlineLevel="0" collapsed="false">
      <c r="A32" s="3" t="s">
        <v>42</v>
      </c>
      <c r="B32" s="7" t="n">
        <v>46647</v>
      </c>
      <c r="C32" s="5" t="n">
        <v>2.3</v>
      </c>
      <c r="D32" s="4" t="s">
        <v>13</v>
      </c>
      <c r="E32" s="5" t="n">
        <v>100.61</v>
      </c>
      <c r="F32" s="6" t="n">
        <f aca="false">IF(C32="","",100*(Параметры!$B$3+Параметры!$B$2+C32)/E32)</f>
        <v>17.1951098300368</v>
      </c>
      <c r="G32" s="7" t="n">
        <v>46374</v>
      </c>
      <c r="H32" s="8" t="n">
        <f aca="false">(G32-Параметры!$B$4)/365</f>
        <v>0.216438356164384</v>
      </c>
    </row>
    <row r="33" customFormat="false" ht="15" hidden="false" customHeight="true" outlineLevel="0" collapsed="false">
      <c r="A33" s="3" t="s">
        <v>43</v>
      </c>
      <c r="B33" s="7" t="n">
        <v>46330</v>
      </c>
      <c r="C33" s="5" t="n">
        <v>2</v>
      </c>
      <c r="D33" s="4" t="s">
        <v>13</v>
      </c>
      <c r="E33" s="5" t="n">
        <v>100.06</v>
      </c>
      <c r="F33" s="6" t="n">
        <f aca="false">IF(C33="","",100*(Параметры!$B$3+Параметры!$B$2+C33)/E33)</f>
        <v>16.9898061163302</v>
      </c>
      <c r="G33" s="7" t="n">
        <v>46300</v>
      </c>
      <c r="H33" s="8" t="n">
        <f aca="false">(G33-Параметры!$B$4)/365</f>
        <v>0.0136986301369863</v>
      </c>
    </row>
    <row r="34" customFormat="false" ht="15" hidden="false" customHeight="true" outlineLevel="0" collapsed="false">
      <c r="A34" s="3" t="s">
        <v>44</v>
      </c>
      <c r="B34" s="7" t="n">
        <v>46371</v>
      </c>
      <c r="C34" s="5" t="n">
        <v>5</v>
      </c>
      <c r="D34" s="4" t="s">
        <v>13</v>
      </c>
      <c r="E34" s="5" t="n">
        <v>100.61</v>
      </c>
      <c r="F34" s="6" t="n">
        <f aca="false">IF(C34="","",100*(Параметры!$B$3+Параметры!$B$2+C34)/E34)</f>
        <v>19.8787396879038</v>
      </c>
      <c r="G34" s="7" t="n">
        <v>46311</v>
      </c>
      <c r="H34" s="8" t="n">
        <f aca="false">(G34-Параметры!$B$4)/365</f>
        <v>0.0438356164383562</v>
      </c>
    </row>
    <row r="35" customFormat="false" ht="15" hidden="false" customHeight="true" outlineLevel="0" collapsed="false">
      <c r="A35" s="3" t="s">
        <v>45</v>
      </c>
      <c r="B35" s="7" t="n">
        <v>46478</v>
      </c>
      <c r="C35" s="5" t="n">
        <v>4.25</v>
      </c>
      <c r="D35" s="4" t="s">
        <v>13</v>
      </c>
      <c r="E35" s="5" t="n">
        <v>101.1</v>
      </c>
      <c r="F35" s="6" t="n">
        <f aca="false">IF(C35="","",100*(Параметры!$B$3+Параметры!$B$2+C35)/E35)</f>
        <v>19.0405539070228</v>
      </c>
      <c r="G35" s="7" t="n">
        <v>46298</v>
      </c>
      <c r="H35" s="8" t="n">
        <f aca="false">(G35-Параметры!$B$4)/365</f>
        <v>0.00821917808219178</v>
      </c>
    </row>
    <row r="36" customFormat="false" ht="15" hidden="false" customHeight="true" outlineLevel="0" collapsed="false">
      <c r="A36" s="3" t="s">
        <v>46</v>
      </c>
      <c r="B36" s="7" t="n">
        <v>49554</v>
      </c>
      <c r="C36" s="5" t="n">
        <v>1.15</v>
      </c>
      <c r="D36" s="4" t="s">
        <v>13</v>
      </c>
      <c r="E36" s="5" t="n">
        <v>100</v>
      </c>
      <c r="F36" s="6" t="n">
        <f aca="false">IF(C36="","",100*(Параметры!$B$3+Параметры!$B$2+C36)/E36)</f>
        <v>16.15</v>
      </c>
      <c r="G36" s="7" t="n">
        <v>46314</v>
      </c>
      <c r="H36" s="8" t="n">
        <f aca="false">(G36-Параметры!$B$4)/365</f>
        <v>0.0520547945205479</v>
      </c>
    </row>
    <row r="37" customFormat="false" ht="15" hidden="false" customHeight="true" outlineLevel="0" collapsed="false">
      <c r="A37" s="3" t="s">
        <v>47</v>
      </c>
      <c r="B37" s="7" t="n">
        <v>47218</v>
      </c>
      <c r="C37" s="5" t="n">
        <v>1.5</v>
      </c>
      <c r="D37" s="4" t="s">
        <v>13</v>
      </c>
      <c r="E37" s="5" t="n">
        <v>100.35</v>
      </c>
      <c r="F37" s="6" t="n">
        <f aca="false">IF(C37="","",100*(Параметры!$B$3+Параметры!$B$2+C37)/E37)</f>
        <v>16.4424514200299</v>
      </c>
      <c r="G37" s="7" t="n">
        <v>46318</v>
      </c>
      <c r="H37" s="8" t="n">
        <f aca="false">(G37-Параметры!$B$4)/365</f>
        <v>0.063013698630137</v>
      </c>
    </row>
    <row r="38" customFormat="false" ht="15" hidden="false" customHeight="true" outlineLevel="0" collapsed="false">
      <c r="A38" s="3" t="s">
        <v>48</v>
      </c>
      <c r="B38" s="7" t="n">
        <v>49640</v>
      </c>
      <c r="C38" s="5" t="n">
        <v>1.7</v>
      </c>
      <c r="D38" s="4" t="s">
        <v>16</v>
      </c>
      <c r="E38" s="5" t="n">
        <v>100</v>
      </c>
      <c r="F38" s="6" t="n">
        <f aca="false">IF(C38="","",100*(Параметры!$B$3+Параметры!$B$2+C38)/E38)</f>
        <v>16.7</v>
      </c>
      <c r="G38" s="7" t="n">
        <v>46323</v>
      </c>
      <c r="H38" s="8" t="n">
        <f aca="false">(G38-Параметры!$B$4)/365</f>
        <v>0.0767123287671233</v>
      </c>
    </row>
    <row r="39" customFormat="false" ht="15" hidden="false" customHeight="true" outlineLevel="0" collapsed="false">
      <c r="A39" s="3" t="s">
        <v>49</v>
      </c>
      <c r="B39" s="7" t="n">
        <v>47080</v>
      </c>
      <c r="C39" s="5" t="n">
        <v>1.6</v>
      </c>
      <c r="D39" s="4" t="s">
        <v>13</v>
      </c>
      <c r="E39" s="5" t="n">
        <v>100.8</v>
      </c>
      <c r="F39" s="6" t="n">
        <f aca="false">IF(C39="","",100*(Параметры!$B$3+Параметры!$B$2+C39)/E39)</f>
        <v>16.468253968254</v>
      </c>
      <c r="G39" s="7" t="n">
        <v>46300</v>
      </c>
      <c r="H39" s="8" t="n">
        <f aca="false">(G39-Параметры!$B$4)/365</f>
        <v>0.0136986301369863</v>
      </c>
    </row>
    <row r="40" customFormat="false" ht="15" hidden="false" customHeight="true" outlineLevel="0" collapsed="false">
      <c r="A40" s="3" t="s">
        <v>50</v>
      </c>
      <c r="B40" s="7" t="n">
        <v>46734</v>
      </c>
      <c r="C40" s="5" t="n">
        <v>1.35</v>
      </c>
      <c r="D40" s="4" t="s">
        <v>13</v>
      </c>
      <c r="E40" s="5" t="n">
        <v>100.29</v>
      </c>
      <c r="F40" s="6" t="n">
        <f aca="false">IF(C40="","",100*(Параметры!$B$3+Параметры!$B$2+C40)/E40)</f>
        <v>16.3027221058929</v>
      </c>
      <c r="G40" s="7" t="n">
        <v>46314</v>
      </c>
      <c r="H40" s="8" t="n">
        <f aca="false">(G40-Параметры!$B$4)/365</f>
        <v>0.0520547945205479</v>
      </c>
    </row>
    <row r="41" customFormat="false" ht="15" hidden="false" customHeight="true" outlineLevel="0" collapsed="false">
      <c r="A41" s="3" t="s">
        <v>51</v>
      </c>
      <c r="B41" s="7" t="n">
        <v>46859</v>
      </c>
      <c r="C41" s="5" t="n">
        <v>1.5</v>
      </c>
      <c r="D41" s="4" t="s">
        <v>13</v>
      </c>
      <c r="E41" s="5" t="n">
        <v>100.61</v>
      </c>
      <c r="F41" s="6" t="n">
        <f aca="false">IF(C41="","",100*(Параметры!$B$3+Параметры!$B$2+C41)/E41)</f>
        <v>16.3999602425206</v>
      </c>
      <c r="G41" s="7" t="n">
        <v>46319</v>
      </c>
      <c r="H41" s="8" t="n">
        <f aca="false">(G41-Параметры!$B$4)/365</f>
        <v>0.0657534246575342</v>
      </c>
    </row>
    <row r="42" customFormat="false" ht="15" hidden="false" customHeight="true" outlineLevel="0" collapsed="false">
      <c r="A42" s="3" t="s">
        <v>52</v>
      </c>
      <c r="B42" s="7" t="n">
        <v>47522</v>
      </c>
      <c r="C42" s="5" t="n">
        <v>1.85</v>
      </c>
      <c r="D42" s="4" t="s">
        <v>13</v>
      </c>
      <c r="E42" s="5" t="n">
        <v>99.6</v>
      </c>
      <c r="F42" s="6" t="n">
        <f aca="false">IF(C42="","",100*(Параметры!$B$3+Параметры!$B$2+C42)/E42)</f>
        <v>16.9176706827309</v>
      </c>
      <c r="G42" s="7" t="n">
        <v>46302</v>
      </c>
      <c r="H42" s="8" t="n">
        <f aca="false">(G42-Параметры!$B$4)/365</f>
        <v>0.0191780821917808</v>
      </c>
    </row>
    <row r="43" customFormat="false" ht="15" hidden="false" customHeight="true" outlineLevel="0" collapsed="false">
      <c r="A43" s="3" t="s">
        <v>53</v>
      </c>
      <c r="B43" s="7" t="n">
        <v>47188</v>
      </c>
      <c r="C43" s="5" t="n">
        <v>1.5</v>
      </c>
      <c r="D43" s="4" t="s">
        <v>13</v>
      </c>
      <c r="E43" s="5" t="n">
        <v>100.62</v>
      </c>
      <c r="F43" s="6" t="n">
        <f aca="false">IF(C43="","",100*(Параметры!$B$3+Параметры!$B$2+C43)/E43)</f>
        <v>16.3983303518187</v>
      </c>
      <c r="G43" s="7" t="n">
        <v>46318</v>
      </c>
      <c r="H43" s="8" t="n">
        <f aca="false">(G43-Параметры!$B$4)/365</f>
        <v>0.063013698630137</v>
      </c>
    </row>
    <row r="44" customFormat="false" ht="15" hidden="false" customHeight="true" outlineLevel="0" collapsed="false">
      <c r="A44" s="3" t="s">
        <v>54</v>
      </c>
      <c r="B44" s="7" t="n">
        <v>47191</v>
      </c>
      <c r="C44" s="5" t="n">
        <v>1.7</v>
      </c>
      <c r="D44" s="4" t="s">
        <v>13</v>
      </c>
      <c r="E44" s="5" t="n">
        <v>99.47</v>
      </c>
      <c r="F44" s="6" t="n">
        <f aca="false">IF(C44="","",100*(Параметры!$B$3+Параметры!$B$2+C44)/E44)</f>
        <v>16.7889816024932</v>
      </c>
      <c r="G44" s="7" t="n">
        <v>46321</v>
      </c>
      <c r="H44" s="8" t="n">
        <f aca="false">(G44-Параметры!$B$4)/365</f>
        <v>0.0712328767123288</v>
      </c>
    </row>
    <row r="45" customFormat="false" ht="15" hidden="false" customHeight="true" outlineLevel="0" collapsed="false">
      <c r="A45" s="3" t="s">
        <v>55</v>
      </c>
      <c r="B45" s="7" t="n">
        <v>47214</v>
      </c>
      <c r="C45" s="5" t="n">
        <v>1.75</v>
      </c>
      <c r="D45" s="4" t="s">
        <v>13</v>
      </c>
      <c r="E45" s="5" t="n">
        <v>99.94</v>
      </c>
      <c r="F45" s="6" t="n">
        <f aca="false">IF(C45="","",100*(Параметры!$B$3+Параметры!$B$2+C45)/E45)</f>
        <v>16.7600560336202</v>
      </c>
      <c r="G45" s="7" t="n">
        <v>46314</v>
      </c>
      <c r="H45" s="8" t="n">
        <f aca="false">(G45-Параметры!$B$4)/365</f>
        <v>0.0520547945205479</v>
      </c>
    </row>
    <row r="46" customFormat="false" ht="15" hidden="false" customHeight="true" outlineLevel="0" collapsed="false">
      <c r="A46" s="3" t="s">
        <v>56</v>
      </c>
      <c r="B46" s="7" t="n">
        <v>47036</v>
      </c>
      <c r="C46" s="5" t="n">
        <v>2</v>
      </c>
      <c r="D46" s="4" t="s">
        <v>13</v>
      </c>
      <c r="E46" s="5" t="n">
        <v>99.99</v>
      </c>
      <c r="F46" s="6" t="n">
        <f aca="false">IF(C46="","",100*(Параметры!$B$3+Параметры!$B$2+C46)/E46)</f>
        <v>17.001700170017</v>
      </c>
      <c r="G46" s="7" t="n">
        <v>46316</v>
      </c>
      <c r="H46" s="8" t="n">
        <f aca="false">(G46-Параметры!$B$4)/365</f>
        <v>0.0575342465753425</v>
      </c>
    </row>
    <row r="47" customFormat="false" ht="15" hidden="false" customHeight="true" outlineLevel="0" collapsed="false">
      <c r="A47" s="3" t="s">
        <v>57</v>
      </c>
      <c r="B47" s="7" t="n">
        <v>47040</v>
      </c>
      <c r="C47" s="5" t="n">
        <v>2.5</v>
      </c>
      <c r="D47" s="4" t="s">
        <v>13</v>
      </c>
      <c r="E47" s="5" t="n">
        <v>100.84</v>
      </c>
      <c r="F47" s="6" t="n">
        <f aca="false">IF(C47="","",100*(Параметры!$B$3+Параметры!$B$2+C47)/E47)</f>
        <v>17.3542245140817</v>
      </c>
      <c r="G47" s="7" t="n">
        <v>46320</v>
      </c>
      <c r="H47" s="8" t="n">
        <f aca="false">(G47-Параметры!$B$4)/365</f>
        <v>0.0684931506849315</v>
      </c>
    </row>
    <row r="48" customFormat="false" ht="15" hidden="false" customHeight="true" outlineLevel="0" collapsed="false">
      <c r="A48" s="3" t="s">
        <v>58</v>
      </c>
      <c r="B48" s="7" t="n">
        <v>46841</v>
      </c>
      <c r="C48" s="5" t="n">
        <v>1.6</v>
      </c>
      <c r="D48" s="4" t="s">
        <v>13</v>
      </c>
      <c r="E48" s="5" t="n">
        <v>100.82</v>
      </c>
      <c r="F48" s="6" t="n">
        <f aca="false">IF(C48="","",100*(Параметры!$B$3+Параметры!$B$2+C48)/E48)</f>
        <v>16.464987105733</v>
      </c>
      <c r="G48" s="7" t="n">
        <v>46385</v>
      </c>
      <c r="H48" s="8" t="n">
        <f aca="false">(G48-Параметры!$B$4)/365</f>
        <v>0.246575342465753</v>
      </c>
    </row>
    <row r="49" customFormat="false" ht="15" hidden="false" customHeight="true" outlineLevel="0" collapsed="false">
      <c r="A49" s="3" t="s">
        <v>59</v>
      </c>
      <c r="B49" s="4"/>
      <c r="C49" s="9"/>
      <c r="D49" s="4" t="s">
        <v>11</v>
      </c>
      <c r="E49" s="5" t="n">
        <v>70.46</v>
      </c>
      <c r="F49" s="6" t="str">
        <f aca="false">IF(C49="","",100*(Параметры!$B$3+Параметры!$B$2+C49)/E49)</f>
        <v/>
      </c>
      <c r="G49" s="7" t="n">
        <v>46362</v>
      </c>
      <c r="H49" s="8" t="n">
        <f aca="false">(G49-Параметры!$B$4)/365</f>
        <v>0.183561643835616</v>
      </c>
    </row>
    <row r="50" customFormat="false" ht="15" hidden="false" customHeight="true" outlineLevel="0" collapsed="false">
      <c r="A50" s="3" t="s">
        <v>60</v>
      </c>
      <c r="B50" s="4"/>
      <c r="C50" s="9"/>
      <c r="D50" s="4" t="s">
        <v>11</v>
      </c>
      <c r="E50" s="5" t="n">
        <v>67.42</v>
      </c>
      <c r="F50" s="6" t="str">
        <f aca="false">IF(C50="","",100*(Параметры!$B$3+Параметры!$B$2+C50)/E50)</f>
        <v/>
      </c>
      <c r="G50" s="7" t="n">
        <v>46342</v>
      </c>
      <c r="H50" s="8" t="n">
        <f aca="false">(G50-Параметры!$B$4)/365</f>
        <v>0.128767123287671</v>
      </c>
    </row>
    <row r="51" customFormat="false" ht="15" hidden="false" customHeight="true" outlineLevel="0" collapsed="false">
      <c r="A51" s="3" t="s">
        <v>61</v>
      </c>
      <c r="B51" s="4"/>
      <c r="C51" s="9"/>
      <c r="D51" s="4" t="s">
        <v>11</v>
      </c>
      <c r="E51" s="5" t="n">
        <v>67.4</v>
      </c>
      <c r="F51" s="6" t="str">
        <f aca="false">IF(C51="","",100*(Параметры!$B$3+Параметры!$B$2+C51)/E51)</f>
        <v/>
      </c>
      <c r="G51" s="7" t="n">
        <v>46342</v>
      </c>
      <c r="H51" s="8" t="n">
        <f aca="false">(G51-Параметры!$B$4)/365</f>
        <v>0.128767123287671</v>
      </c>
    </row>
    <row r="52" customFormat="false" ht="15" hidden="false" customHeight="true" outlineLevel="0" collapsed="false">
      <c r="A52" s="3" t="s">
        <v>62</v>
      </c>
      <c r="B52" s="7" t="n">
        <v>50490</v>
      </c>
      <c r="C52" s="5" t="n">
        <v>1.5</v>
      </c>
      <c r="D52" s="4" t="s">
        <v>13</v>
      </c>
      <c r="E52" s="5" t="n">
        <v>99.85</v>
      </c>
      <c r="F52" s="6" t="n">
        <f aca="false">IF(C52="","",100*(Параметры!$B$3+Параметры!$B$2+C52)/E52)</f>
        <v>16.5247871807712</v>
      </c>
      <c r="G52" s="7" t="n">
        <v>46320</v>
      </c>
      <c r="H52" s="8" t="n">
        <f aca="false">(G52-Параметры!$B$4)/365</f>
        <v>0.0684931506849315</v>
      </c>
    </row>
    <row r="53" customFormat="false" ht="15" hidden="false" customHeight="true" outlineLevel="0" collapsed="false">
      <c r="A53" s="3" t="s">
        <v>63</v>
      </c>
      <c r="B53" s="7" t="n">
        <v>47257</v>
      </c>
      <c r="C53" s="5" t="n">
        <v>1.7</v>
      </c>
      <c r="D53" s="4" t="s">
        <v>13</v>
      </c>
      <c r="E53" s="5" t="n">
        <v>100.15</v>
      </c>
      <c r="F53" s="6" t="n">
        <f aca="false">IF(C53="","",100*(Параметры!$B$3+Параметры!$B$2+C53)/E53)</f>
        <v>16.6749875187219</v>
      </c>
      <c r="G53" s="7" t="n">
        <v>46297</v>
      </c>
      <c r="H53" s="8" t="n">
        <f aca="false">(G53-Параметры!$B$4)/365</f>
        <v>0.00547945205479452</v>
      </c>
    </row>
    <row r="54" customFormat="false" ht="15" hidden="false" customHeight="true" outlineLevel="0" collapsed="false">
      <c r="A54" s="3" t="s">
        <v>64</v>
      </c>
      <c r="B54" s="7" t="n">
        <v>46911</v>
      </c>
      <c r="C54" s="5" t="n">
        <v>3.5</v>
      </c>
      <c r="D54" s="4" t="s">
        <v>13</v>
      </c>
      <c r="E54" s="5" t="n">
        <v>101.08</v>
      </c>
      <c r="F54" s="6" t="n">
        <f aca="false">IF(C54="","",100*(Параметры!$B$3+Параметры!$B$2+C54)/E54)</f>
        <v>18.3023347843292</v>
      </c>
      <c r="G54" s="7" t="n">
        <v>46311</v>
      </c>
      <c r="H54" s="8" t="n">
        <f aca="false">(G54-Параметры!$B$4)/365</f>
        <v>0.0438356164383562</v>
      </c>
    </row>
    <row r="55" customFormat="false" ht="15" hidden="false" customHeight="true" outlineLevel="0" collapsed="false">
      <c r="A55" s="3" t="s">
        <v>65</v>
      </c>
      <c r="B55" s="7" t="n">
        <v>47283</v>
      </c>
      <c r="C55" s="5" t="n">
        <v>1.5</v>
      </c>
      <c r="D55" s="4" t="s">
        <v>13</v>
      </c>
      <c r="E55" s="5" t="n">
        <v>100.52</v>
      </c>
      <c r="F55" s="6" t="n">
        <f aca="false">IF(C55="","",100*(Параметры!$B$3+Параметры!$B$2+C55)/E55)</f>
        <v>16.4146438519698</v>
      </c>
      <c r="G55" s="7" t="n">
        <v>46310</v>
      </c>
      <c r="H55" s="8" t="n">
        <f aca="false">(G55-Параметры!$B$4)/365</f>
        <v>0.0410958904109589</v>
      </c>
    </row>
    <row r="56" customFormat="false" ht="15" hidden="false" customHeight="true" outlineLevel="0" collapsed="false">
      <c r="A56" s="3" t="s">
        <v>66</v>
      </c>
      <c r="B56" s="7" t="n">
        <v>49866</v>
      </c>
      <c r="C56" s="5" t="n">
        <v>2.5</v>
      </c>
      <c r="D56" s="4" t="s">
        <v>13</v>
      </c>
      <c r="E56" s="5" t="n">
        <v>99.72</v>
      </c>
      <c r="F56" s="6" t="n">
        <f aca="false">IF(C56="","",100*(Параметры!$B$3+Параметры!$B$2+C56)/E56)</f>
        <v>17.5491375852387</v>
      </c>
      <c r="G56" s="7" t="n">
        <v>46317</v>
      </c>
      <c r="H56" s="8" t="n">
        <f aca="false">(G56-Параметры!$B$4)/365</f>
        <v>0.0602739726027397</v>
      </c>
    </row>
    <row r="57" customFormat="false" ht="15" hidden="false" customHeight="true" outlineLevel="0" collapsed="false">
      <c r="A57" s="3" t="s">
        <v>67</v>
      </c>
      <c r="B57" s="7" t="n">
        <v>46973</v>
      </c>
      <c r="C57" s="5" t="n">
        <v>3.25</v>
      </c>
      <c r="D57" s="4" t="s">
        <v>13</v>
      </c>
      <c r="E57" s="5" t="n">
        <v>99.35</v>
      </c>
      <c r="F57" s="6" t="n">
        <f aca="false">IF(C57="","",100*(Параметры!$B$3+Параметры!$B$2+C57)/E57)</f>
        <v>18.3694011071968</v>
      </c>
      <c r="G57" s="7" t="n">
        <v>46313</v>
      </c>
      <c r="H57" s="8" t="n">
        <f aca="false">(G57-Параметры!$B$4)/365</f>
        <v>0.0493150684931507</v>
      </c>
    </row>
    <row r="58" customFormat="false" ht="15" hidden="false" customHeight="true" outlineLevel="0" collapsed="false">
      <c r="A58" s="3" t="s">
        <v>68</v>
      </c>
      <c r="B58" s="7" t="n">
        <v>47339</v>
      </c>
      <c r="C58" s="5" t="n">
        <v>4</v>
      </c>
      <c r="D58" s="4" t="s">
        <v>13</v>
      </c>
      <c r="E58" s="5" t="n">
        <v>99.86</v>
      </c>
      <c r="F58" s="6" t="n">
        <f aca="false">IF(C58="","",100*(Параметры!$B$3+Параметры!$B$2+C58)/E58)</f>
        <v>19.0266372922091</v>
      </c>
      <c r="G58" s="7" t="n">
        <v>46319</v>
      </c>
      <c r="H58" s="8" t="n">
        <f aca="false">(G58-Параметры!$B$4)/365</f>
        <v>0.0657534246575342</v>
      </c>
    </row>
    <row r="59" customFormat="false" ht="15" hidden="false" customHeight="true" outlineLevel="0" collapsed="false">
      <c r="A59" s="3" t="s">
        <v>69</v>
      </c>
      <c r="B59" s="7" t="n">
        <v>46982</v>
      </c>
      <c r="C59" s="5" t="n">
        <v>3.3</v>
      </c>
      <c r="D59" s="4" t="s">
        <v>13</v>
      </c>
      <c r="E59" s="5" t="n">
        <v>99.98</v>
      </c>
      <c r="F59" s="6" t="n">
        <f aca="false">IF(C59="","",100*(Параметры!$B$3+Параметры!$B$2+C59)/E59)</f>
        <v>18.3036607321464</v>
      </c>
      <c r="G59" s="7" t="n">
        <v>46322</v>
      </c>
      <c r="H59" s="8" t="n">
        <f aca="false">(G59-Параметры!$B$4)/365</f>
        <v>0.073972602739726</v>
      </c>
    </row>
    <row r="60" customFormat="false" ht="15" hidden="false" customHeight="true" outlineLevel="0" collapsed="false">
      <c r="A60" s="3" t="s">
        <v>70</v>
      </c>
      <c r="B60" s="7" t="n">
        <v>46816</v>
      </c>
      <c r="C60" s="5" t="n">
        <v>1.35</v>
      </c>
      <c r="D60" s="4" t="s">
        <v>13</v>
      </c>
      <c r="E60" s="5" t="n">
        <v>100.07</v>
      </c>
      <c r="F60" s="6" t="n">
        <f aca="false">IF(C60="","",100*(Параметры!$B$3+Параметры!$B$2+C60)/E60)</f>
        <v>16.3385630058959</v>
      </c>
      <c r="G60" s="7" t="n">
        <v>46306</v>
      </c>
      <c r="H60" s="8" t="n">
        <f aca="false">(G60-Параметры!$B$4)/365</f>
        <v>0.0301369863013699</v>
      </c>
    </row>
    <row r="61" customFormat="false" ht="15" hidden="false" customHeight="true" outlineLevel="0" collapsed="false">
      <c r="A61" s="3" t="s">
        <v>71</v>
      </c>
      <c r="B61" s="7" t="n">
        <v>47363</v>
      </c>
      <c r="C61" s="5" t="n">
        <v>1.5</v>
      </c>
      <c r="D61" s="4" t="s">
        <v>13</v>
      </c>
      <c r="E61" s="5" t="n">
        <v>99.86</v>
      </c>
      <c r="F61" s="6" t="n">
        <f aca="false">IF(C61="","",100*(Параметры!$B$3+Параметры!$B$2+C61)/E61)</f>
        <v>16.5231323853395</v>
      </c>
      <c r="G61" s="7" t="n">
        <v>46313</v>
      </c>
      <c r="H61" s="8" t="n">
        <f aca="false">(G61-Параметры!$B$4)/365</f>
        <v>0.0493150684931507</v>
      </c>
    </row>
    <row r="62" customFormat="false" ht="15" hidden="false" customHeight="true" outlineLevel="0" collapsed="false">
      <c r="A62" s="3" t="s">
        <v>72</v>
      </c>
      <c r="B62" s="7" t="n">
        <v>47367</v>
      </c>
      <c r="C62" s="5" t="n">
        <v>1.7</v>
      </c>
      <c r="D62" s="4" t="s">
        <v>13</v>
      </c>
      <c r="E62" s="5" t="n">
        <v>99.58</v>
      </c>
      <c r="F62" s="6" t="n">
        <f aca="false">IF(C62="","",100*(Параметры!$B$3+Параметры!$B$2+C62)/E62)</f>
        <v>16.7704358304881</v>
      </c>
      <c r="G62" s="7" t="n">
        <v>46317</v>
      </c>
      <c r="H62" s="8" t="n">
        <f aca="false">(G62-Параметры!$B$4)/365</f>
        <v>0.0602739726027397</v>
      </c>
    </row>
    <row r="63" customFormat="false" ht="15" hidden="false" customHeight="true" outlineLevel="0" collapsed="false">
      <c r="A63" s="3" t="s">
        <v>73</v>
      </c>
      <c r="B63" s="7" t="n">
        <v>47025</v>
      </c>
      <c r="C63" s="5" t="n">
        <v>1.55</v>
      </c>
      <c r="D63" s="4" t="s">
        <v>13</v>
      </c>
      <c r="E63" s="5" t="n">
        <v>100.32</v>
      </c>
      <c r="F63" s="6" t="n">
        <f aca="false">IF(C63="","",100*(Параметры!$B$3+Параметры!$B$2+C63)/E63)</f>
        <v>16.4972089314195</v>
      </c>
      <c r="G63" s="7" t="n">
        <v>46385</v>
      </c>
      <c r="H63" s="8" t="n">
        <f aca="false">(G63-Параметры!$B$4)/365</f>
        <v>0.246575342465753</v>
      </c>
    </row>
    <row r="64" customFormat="false" ht="15" hidden="false" customHeight="true" outlineLevel="0" collapsed="false">
      <c r="A64" s="3" t="s">
        <v>74</v>
      </c>
      <c r="B64" s="7" t="n">
        <v>47370</v>
      </c>
      <c r="C64" s="5" t="n">
        <v>1.45</v>
      </c>
      <c r="D64" s="4" t="s">
        <v>13</v>
      </c>
      <c r="E64" s="5" t="n">
        <v>99.97</v>
      </c>
      <c r="F64" s="6" t="n">
        <f aca="false">IF(C64="","",100*(Параметры!$B$3+Параметры!$B$2+C64)/E64)</f>
        <v>16.4549364809443</v>
      </c>
      <c r="G64" s="7" t="n">
        <v>46320</v>
      </c>
      <c r="H64" s="8" t="n">
        <f aca="false">(G64-Параметры!$B$4)/365</f>
        <v>0.0684931506849315</v>
      </c>
    </row>
  </sheetData>
  <autoFilter ref="A1:H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7"/>
    <col collapsed="false" customWidth="true" hidden="false" outlineLevel="0" max="8" min="8" style="1" width="15"/>
    <col collapsed="false" customWidth="true" hidden="false" outlineLevel="0" max="9" min="9" style="1" width="8"/>
  </cols>
  <sheetData>
    <row r="1" customFormat="false" ht="30" hidden="false" customHeight="true" outlineLevel="0" collapsed="false">
      <c r="A1" s="2" t="s">
        <v>0</v>
      </c>
      <c r="B1" s="2" t="s">
        <v>75</v>
      </c>
      <c r="C1" s="2" t="s">
        <v>76</v>
      </c>
      <c r="D1" s="2" t="s">
        <v>77</v>
      </c>
      <c r="E1" s="2" t="s">
        <v>2</v>
      </c>
      <c r="F1" s="2" t="s">
        <v>78</v>
      </c>
      <c r="G1" s="2" t="s">
        <v>79</v>
      </c>
      <c r="H1" s="2" t="s">
        <v>1</v>
      </c>
      <c r="I1" s="2" t="s">
        <v>80</v>
      </c>
    </row>
    <row r="2" customFormat="false" ht="15" hidden="false" customHeight="true" outlineLevel="0" collapsed="false">
      <c r="A2" s="3" t="s">
        <v>8</v>
      </c>
      <c r="B2" s="3" t="s">
        <v>81</v>
      </c>
      <c r="C2" s="3" t="s">
        <v>8</v>
      </c>
      <c r="D2" s="4" t="s">
        <v>82</v>
      </c>
      <c r="E2" s="10" t="n">
        <v>2.25</v>
      </c>
      <c r="F2" s="4" t="n">
        <v>2</v>
      </c>
      <c r="G2" s="3" t="s">
        <v>83</v>
      </c>
      <c r="H2" s="4" t="s">
        <v>84</v>
      </c>
      <c r="I2" s="4" t="s">
        <v>85</v>
      </c>
    </row>
    <row r="3" customFormat="false" ht="15" hidden="false" customHeight="true" outlineLevel="0" collapsed="false">
      <c r="A3" s="3" t="s">
        <v>10</v>
      </c>
      <c r="B3" s="3" t="s">
        <v>86</v>
      </c>
      <c r="C3" s="3" t="s">
        <v>10</v>
      </c>
      <c r="D3" s="4" t="s">
        <v>87</v>
      </c>
      <c r="E3" s="4"/>
      <c r="F3" s="4" t="n">
        <v>2</v>
      </c>
      <c r="G3" s="3" t="s">
        <v>88</v>
      </c>
      <c r="H3" s="4" t="s">
        <v>84</v>
      </c>
      <c r="I3" s="4" t="s">
        <v>85</v>
      </c>
    </row>
    <row r="4" customFormat="false" ht="15" hidden="false" customHeight="true" outlineLevel="0" collapsed="false">
      <c r="A4" s="3" t="s">
        <v>12</v>
      </c>
      <c r="B4" s="3" t="s">
        <v>89</v>
      </c>
      <c r="C4" s="3" t="s">
        <v>12</v>
      </c>
      <c r="D4" s="4" t="s">
        <v>90</v>
      </c>
      <c r="E4" s="10" t="n">
        <v>2.15</v>
      </c>
      <c r="F4" s="4" t="n">
        <v>4</v>
      </c>
      <c r="G4" s="3" t="s">
        <v>91</v>
      </c>
      <c r="H4" s="7" t="n">
        <v>49823</v>
      </c>
      <c r="I4" s="4" t="s">
        <v>85</v>
      </c>
    </row>
    <row r="5" customFormat="false" ht="15" hidden="false" customHeight="true" outlineLevel="0" collapsed="false">
      <c r="A5" s="3" t="s">
        <v>14</v>
      </c>
      <c r="B5" s="3" t="s">
        <v>92</v>
      </c>
      <c r="C5" s="3" t="s">
        <v>14</v>
      </c>
      <c r="D5" s="4" t="s">
        <v>90</v>
      </c>
      <c r="E5" s="10" t="n">
        <v>1.3</v>
      </c>
      <c r="F5" s="4" t="n">
        <v>2</v>
      </c>
      <c r="G5" s="3" t="s">
        <v>93</v>
      </c>
      <c r="H5" s="7" t="n">
        <v>46435</v>
      </c>
      <c r="I5" s="4" t="s">
        <v>85</v>
      </c>
    </row>
    <row r="6" customFormat="false" ht="15" hidden="false" customHeight="true" outlineLevel="0" collapsed="false">
      <c r="A6" s="3" t="s">
        <v>15</v>
      </c>
      <c r="B6" s="3" t="s">
        <v>94</v>
      </c>
      <c r="C6" s="3" t="s">
        <v>15</v>
      </c>
      <c r="D6" s="4" t="s">
        <v>16</v>
      </c>
      <c r="E6" s="10" t="n">
        <v>1.3</v>
      </c>
      <c r="F6" s="4" t="n">
        <v>4</v>
      </c>
      <c r="G6" s="3" t="s">
        <v>93</v>
      </c>
      <c r="H6" s="7" t="n">
        <v>46625</v>
      </c>
      <c r="I6" s="4" t="s">
        <v>85</v>
      </c>
    </row>
    <row r="7" customFormat="false" ht="15" hidden="false" customHeight="true" outlineLevel="0" collapsed="false">
      <c r="A7" s="3" t="s">
        <v>17</v>
      </c>
      <c r="B7" s="3" t="s">
        <v>95</v>
      </c>
      <c r="C7" s="3" t="s">
        <v>17</v>
      </c>
      <c r="D7" s="4" t="s">
        <v>16</v>
      </c>
      <c r="E7" s="10" t="n">
        <v>1.2</v>
      </c>
      <c r="F7" s="4" t="n">
        <v>12</v>
      </c>
      <c r="G7" s="3" t="s">
        <v>93</v>
      </c>
      <c r="H7" s="7" t="n">
        <v>47746</v>
      </c>
      <c r="I7" s="4" t="s">
        <v>85</v>
      </c>
    </row>
    <row r="8" customFormat="false" ht="15" hidden="false" customHeight="true" outlineLevel="0" collapsed="false">
      <c r="A8" s="3" t="s">
        <v>18</v>
      </c>
      <c r="B8" s="3" t="s">
        <v>96</v>
      </c>
      <c r="C8" s="3" t="s">
        <v>18</v>
      </c>
      <c r="D8" s="4" t="s">
        <v>16</v>
      </c>
      <c r="E8" s="10" t="n">
        <v>1.4</v>
      </c>
      <c r="F8" s="4" t="n">
        <v>4</v>
      </c>
      <c r="G8" s="3" t="s">
        <v>93</v>
      </c>
      <c r="H8" s="7" t="n">
        <v>46442</v>
      </c>
      <c r="I8" s="4" t="s">
        <v>85</v>
      </c>
    </row>
    <row r="9" customFormat="false" ht="15" hidden="false" customHeight="true" outlineLevel="0" collapsed="false">
      <c r="A9" s="3" t="s">
        <v>19</v>
      </c>
      <c r="B9" s="3" t="s">
        <v>97</v>
      </c>
      <c r="C9" s="3" t="s">
        <v>19</v>
      </c>
      <c r="D9" s="4" t="s">
        <v>90</v>
      </c>
      <c r="E9" s="10" t="n">
        <v>1.3</v>
      </c>
      <c r="F9" s="4" t="n">
        <v>12</v>
      </c>
      <c r="G9" s="3" t="s">
        <v>93</v>
      </c>
      <c r="H9" s="7" t="n">
        <v>47177</v>
      </c>
      <c r="I9" s="4" t="s">
        <v>85</v>
      </c>
    </row>
    <row r="10" customFormat="false" ht="15" hidden="false" customHeight="true" outlineLevel="0" collapsed="false">
      <c r="A10" s="3" t="s">
        <v>20</v>
      </c>
      <c r="B10" s="3" t="s">
        <v>98</v>
      </c>
      <c r="C10" s="3" t="s">
        <v>20</v>
      </c>
      <c r="D10" s="4" t="s">
        <v>90</v>
      </c>
      <c r="E10" s="10" t="n">
        <v>1.3</v>
      </c>
      <c r="F10" s="4" t="n">
        <v>4</v>
      </c>
      <c r="G10" s="3" t="s">
        <v>93</v>
      </c>
      <c r="H10" s="7" t="n">
        <v>46653</v>
      </c>
      <c r="I10" s="4" t="s">
        <v>85</v>
      </c>
    </row>
    <row r="11" customFormat="false" ht="15" hidden="false" customHeight="true" outlineLevel="0" collapsed="false">
      <c r="A11" s="3" t="s">
        <v>21</v>
      </c>
      <c r="B11" s="3" t="s">
        <v>99</v>
      </c>
      <c r="C11" s="3" t="s">
        <v>21</v>
      </c>
      <c r="D11" s="4" t="s">
        <v>90</v>
      </c>
      <c r="E11" s="10" t="n">
        <v>1.3</v>
      </c>
      <c r="F11" s="4" t="n">
        <v>12</v>
      </c>
      <c r="G11" s="3" t="s">
        <v>93</v>
      </c>
      <c r="H11" s="7" t="n">
        <v>46333</v>
      </c>
      <c r="I11" s="4" t="s">
        <v>85</v>
      </c>
    </row>
    <row r="12" customFormat="false" ht="15" hidden="false" customHeight="true" outlineLevel="0" collapsed="false">
      <c r="A12" s="3" t="s">
        <v>22</v>
      </c>
      <c r="B12" s="3" t="s">
        <v>100</v>
      </c>
      <c r="C12" s="3" t="s">
        <v>22</v>
      </c>
      <c r="D12" s="4" t="s">
        <v>16</v>
      </c>
      <c r="E12" s="10" t="n">
        <v>2.4</v>
      </c>
      <c r="F12" s="4" t="n">
        <v>4</v>
      </c>
      <c r="G12" s="3" t="s">
        <v>93</v>
      </c>
      <c r="H12" s="7" t="n">
        <v>46891</v>
      </c>
      <c r="I12" s="4" t="s">
        <v>85</v>
      </c>
    </row>
    <row r="13" customFormat="false" ht="15" hidden="false" customHeight="true" outlineLevel="0" collapsed="false">
      <c r="A13" s="3" t="s">
        <v>23</v>
      </c>
      <c r="B13" s="3" t="s">
        <v>101</v>
      </c>
      <c r="C13" s="3" t="s">
        <v>23</v>
      </c>
      <c r="D13" s="4" t="s">
        <v>90</v>
      </c>
      <c r="E13" s="10" t="n">
        <v>2.2</v>
      </c>
      <c r="F13" s="4" t="n">
        <v>4</v>
      </c>
      <c r="G13" s="3" t="s">
        <v>93</v>
      </c>
      <c r="H13" s="7" t="n">
        <v>46982</v>
      </c>
      <c r="I13" s="4" t="s">
        <v>85</v>
      </c>
    </row>
    <row r="14" customFormat="false" ht="15" hidden="false" customHeight="true" outlineLevel="0" collapsed="false">
      <c r="A14" s="3" t="s">
        <v>24</v>
      </c>
      <c r="B14" s="3" t="s">
        <v>102</v>
      </c>
      <c r="C14" s="3" t="s">
        <v>24</v>
      </c>
      <c r="D14" s="4" t="s">
        <v>90</v>
      </c>
      <c r="E14" s="10" t="n">
        <v>1.2</v>
      </c>
      <c r="F14" s="4" t="n">
        <v>4</v>
      </c>
      <c r="G14" s="3" t="s">
        <v>93</v>
      </c>
      <c r="H14" s="7" t="n">
        <v>46527</v>
      </c>
      <c r="I14" s="4" t="s">
        <v>85</v>
      </c>
    </row>
    <row r="15" customFormat="false" ht="15" hidden="false" customHeight="true" outlineLevel="0" collapsed="false">
      <c r="A15" s="3" t="s">
        <v>25</v>
      </c>
      <c r="B15" s="3" t="s">
        <v>103</v>
      </c>
      <c r="C15" s="3" t="s">
        <v>25</v>
      </c>
      <c r="D15" s="4" t="s">
        <v>90</v>
      </c>
      <c r="E15" s="10" t="n">
        <v>1.25</v>
      </c>
      <c r="F15" s="4" t="n">
        <v>12</v>
      </c>
      <c r="G15" s="3" t="s">
        <v>93</v>
      </c>
      <c r="H15" s="7" t="n">
        <v>46880</v>
      </c>
      <c r="I15" s="4" t="s">
        <v>85</v>
      </c>
    </row>
    <row r="16" customFormat="false" ht="15" hidden="false" customHeight="true" outlineLevel="0" collapsed="false">
      <c r="A16" s="3" t="s">
        <v>26</v>
      </c>
      <c r="B16" s="3" t="s">
        <v>104</v>
      </c>
      <c r="C16" s="3" t="s">
        <v>26</v>
      </c>
      <c r="D16" s="4" t="s">
        <v>90</v>
      </c>
      <c r="E16" s="10" t="n">
        <v>1.15</v>
      </c>
      <c r="F16" s="4" t="n">
        <v>12</v>
      </c>
      <c r="G16" s="3" t="s">
        <v>93</v>
      </c>
      <c r="H16" s="7" t="n">
        <v>46537</v>
      </c>
      <c r="I16" s="4" t="s">
        <v>85</v>
      </c>
    </row>
    <row r="17" customFormat="false" ht="15" hidden="false" customHeight="true" outlineLevel="0" collapsed="false">
      <c r="A17" s="3" t="s">
        <v>27</v>
      </c>
      <c r="B17" s="3" t="s">
        <v>105</v>
      </c>
      <c r="C17" s="3" t="s">
        <v>27</v>
      </c>
      <c r="D17" s="4" t="s">
        <v>90</v>
      </c>
      <c r="E17" s="10" t="n">
        <v>1.1</v>
      </c>
      <c r="F17" s="4" t="n">
        <v>4</v>
      </c>
      <c r="G17" s="3" t="s">
        <v>93</v>
      </c>
      <c r="H17" s="7" t="n">
        <v>46431</v>
      </c>
      <c r="I17" s="4" t="s">
        <v>85</v>
      </c>
    </row>
    <row r="18" customFormat="false" ht="15" hidden="false" customHeight="true" outlineLevel="0" collapsed="false">
      <c r="A18" s="3" t="s">
        <v>28</v>
      </c>
      <c r="B18" s="3" t="s">
        <v>106</v>
      </c>
      <c r="C18" s="3" t="s">
        <v>28</v>
      </c>
      <c r="D18" s="4" t="s">
        <v>90</v>
      </c>
      <c r="E18" s="10" t="n">
        <v>2.2</v>
      </c>
      <c r="F18" s="4" t="n">
        <v>12</v>
      </c>
      <c r="G18" s="3" t="s">
        <v>93</v>
      </c>
      <c r="H18" s="7" t="n">
        <v>46555</v>
      </c>
      <c r="I18" s="4" t="s">
        <v>85</v>
      </c>
    </row>
    <row r="19" customFormat="false" ht="15" hidden="false" customHeight="true" outlineLevel="0" collapsed="false">
      <c r="A19" s="3" t="s">
        <v>29</v>
      </c>
      <c r="B19" s="3" t="s">
        <v>107</v>
      </c>
      <c r="C19" s="3" t="s">
        <v>29</v>
      </c>
      <c r="D19" s="4" t="s">
        <v>90</v>
      </c>
      <c r="E19" s="10" t="n">
        <v>1.05</v>
      </c>
      <c r="F19" s="4" t="n">
        <v>4</v>
      </c>
      <c r="G19" s="3" t="s">
        <v>93</v>
      </c>
      <c r="H19" s="7" t="n">
        <v>46388</v>
      </c>
      <c r="I19" s="4" t="s">
        <v>85</v>
      </c>
    </row>
    <row r="20" customFormat="false" ht="15" hidden="false" customHeight="true" outlineLevel="0" collapsed="false">
      <c r="A20" s="3" t="s">
        <v>30</v>
      </c>
      <c r="B20" s="3" t="s">
        <v>108</v>
      </c>
      <c r="C20" s="3" t="s">
        <v>30</v>
      </c>
      <c r="D20" s="4" t="s">
        <v>90</v>
      </c>
      <c r="E20" s="10" t="n">
        <v>1.4</v>
      </c>
      <c r="F20" s="4" t="n">
        <v>12</v>
      </c>
      <c r="G20" s="3" t="s">
        <v>91</v>
      </c>
      <c r="H20" s="7" t="n">
        <v>49079</v>
      </c>
      <c r="I20" s="4" t="s">
        <v>85</v>
      </c>
    </row>
    <row r="21" customFormat="false" ht="15" hidden="false" customHeight="true" outlineLevel="0" collapsed="false">
      <c r="A21" s="3" t="s">
        <v>31</v>
      </c>
      <c r="B21" s="3" t="s">
        <v>109</v>
      </c>
      <c r="C21" s="3" t="s">
        <v>31</v>
      </c>
      <c r="D21" s="4" t="s">
        <v>90</v>
      </c>
      <c r="E21" s="10" t="n">
        <v>1.35</v>
      </c>
      <c r="F21" s="4" t="n">
        <v>12</v>
      </c>
      <c r="G21" s="3" t="s">
        <v>93</v>
      </c>
      <c r="H21" s="7" t="n">
        <v>46583</v>
      </c>
      <c r="I21" s="4" t="s">
        <v>85</v>
      </c>
    </row>
    <row r="22" customFormat="false" ht="15" hidden="false" customHeight="true" outlineLevel="0" collapsed="false">
      <c r="A22" s="3" t="s">
        <v>32</v>
      </c>
      <c r="B22" s="3" t="s">
        <v>110</v>
      </c>
      <c r="C22" s="3" t="s">
        <v>32</v>
      </c>
      <c r="D22" s="4" t="s">
        <v>90</v>
      </c>
      <c r="E22" s="10" t="n">
        <v>1</v>
      </c>
      <c r="F22" s="4" t="n">
        <v>12</v>
      </c>
      <c r="G22" s="3" t="s">
        <v>93</v>
      </c>
      <c r="H22" s="7" t="n">
        <v>46586</v>
      </c>
      <c r="I22" s="4" t="s">
        <v>85</v>
      </c>
    </row>
    <row r="23" customFormat="false" ht="15" hidden="false" customHeight="true" outlineLevel="0" collapsed="false">
      <c r="A23" s="3" t="s">
        <v>33</v>
      </c>
      <c r="B23" s="3" t="s">
        <v>111</v>
      </c>
      <c r="C23" s="3" t="s">
        <v>33</v>
      </c>
      <c r="D23" s="4" t="s">
        <v>90</v>
      </c>
      <c r="E23" s="10" t="n">
        <v>1.15</v>
      </c>
      <c r="F23" s="4" t="n">
        <v>4</v>
      </c>
      <c r="G23" s="3" t="s">
        <v>93</v>
      </c>
      <c r="H23" s="7" t="n">
        <v>46603</v>
      </c>
      <c r="I23" s="4" t="s">
        <v>85</v>
      </c>
    </row>
    <row r="24" customFormat="false" ht="15" hidden="false" customHeight="true" outlineLevel="0" collapsed="false">
      <c r="A24" s="3" t="s">
        <v>34</v>
      </c>
      <c r="B24" s="3" t="s">
        <v>112</v>
      </c>
      <c r="C24" s="3" t="s">
        <v>34</v>
      </c>
      <c r="D24" s="4" t="s">
        <v>90</v>
      </c>
      <c r="E24" s="10" t="n">
        <v>2.2</v>
      </c>
      <c r="F24" s="4" t="n">
        <v>4</v>
      </c>
      <c r="G24" s="3" t="s">
        <v>93</v>
      </c>
      <c r="H24" s="7" t="n">
        <v>47065</v>
      </c>
      <c r="I24" s="4" t="s">
        <v>85</v>
      </c>
    </row>
    <row r="25" customFormat="false" ht="15" hidden="false" customHeight="true" outlineLevel="0" collapsed="false">
      <c r="A25" s="3" t="s">
        <v>35</v>
      </c>
      <c r="B25" s="3" t="s">
        <v>113</v>
      </c>
      <c r="C25" s="3" t="s">
        <v>35</v>
      </c>
      <c r="D25" s="4" t="s">
        <v>90</v>
      </c>
      <c r="E25" s="10" t="n">
        <v>1.4</v>
      </c>
      <c r="F25" s="4" t="n">
        <v>12</v>
      </c>
      <c r="G25" s="3" t="s">
        <v>91</v>
      </c>
      <c r="H25" s="7" t="n">
        <v>47324</v>
      </c>
      <c r="I25" s="4" t="s">
        <v>85</v>
      </c>
    </row>
    <row r="26" customFormat="false" ht="15" hidden="false" customHeight="true" outlineLevel="0" collapsed="false">
      <c r="A26" s="3" t="s">
        <v>36</v>
      </c>
      <c r="B26" s="3" t="s">
        <v>114</v>
      </c>
      <c r="C26" s="3" t="s">
        <v>36</v>
      </c>
      <c r="D26" s="4" t="s">
        <v>90</v>
      </c>
      <c r="E26" s="10" t="n">
        <v>1.75</v>
      </c>
      <c r="F26" s="4" t="n">
        <v>12</v>
      </c>
      <c r="G26" s="3" t="s">
        <v>93</v>
      </c>
      <c r="H26" s="7" t="n">
        <v>46619</v>
      </c>
      <c r="I26" s="4" t="s">
        <v>85</v>
      </c>
    </row>
    <row r="27" customFormat="false" ht="15" hidden="false" customHeight="true" outlineLevel="0" collapsed="false">
      <c r="A27" s="3" t="s">
        <v>37</v>
      </c>
      <c r="B27" s="3" t="s">
        <v>115</v>
      </c>
      <c r="C27" s="3" t="s">
        <v>37</v>
      </c>
      <c r="D27" s="4" t="s">
        <v>90</v>
      </c>
      <c r="E27" s="10" t="n">
        <v>2.5</v>
      </c>
      <c r="F27" s="4" t="n">
        <v>12</v>
      </c>
      <c r="G27" s="3" t="s">
        <v>93</v>
      </c>
      <c r="H27" s="7" t="n">
        <v>46627</v>
      </c>
      <c r="I27" s="4" t="s">
        <v>85</v>
      </c>
    </row>
    <row r="28" customFormat="false" ht="15" hidden="false" customHeight="true" outlineLevel="0" collapsed="false">
      <c r="A28" s="3" t="s">
        <v>38</v>
      </c>
      <c r="B28" s="3" t="s">
        <v>116</v>
      </c>
      <c r="C28" s="3" t="s">
        <v>38</v>
      </c>
      <c r="D28" s="4" t="s">
        <v>90</v>
      </c>
      <c r="E28" s="10" t="n">
        <v>1.2</v>
      </c>
      <c r="F28" s="4" t="n">
        <v>4</v>
      </c>
      <c r="G28" s="3" t="s">
        <v>93</v>
      </c>
      <c r="H28" s="7" t="n">
        <v>46643</v>
      </c>
      <c r="I28" s="4" t="s">
        <v>85</v>
      </c>
    </row>
    <row r="29" customFormat="false" ht="15" hidden="false" customHeight="true" outlineLevel="0" collapsed="false">
      <c r="A29" s="3" t="s">
        <v>39</v>
      </c>
      <c r="B29" s="3" t="s">
        <v>117</v>
      </c>
      <c r="C29" s="3" t="s">
        <v>39</v>
      </c>
      <c r="D29" s="4" t="s">
        <v>90</v>
      </c>
      <c r="E29" s="10" t="n">
        <v>2.5</v>
      </c>
      <c r="F29" s="4" t="n">
        <v>12</v>
      </c>
      <c r="G29" s="3" t="s">
        <v>93</v>
      </c>
      <c r="H29" s="7" t="n">
        <v>47352</v>
      </c>
      <c r="I29" s="4" t="s">
        <v>85</v>
      </c>
    </row>
    <row r="30" customFormat="false" ht="15" hidden="false" customHeight="true" outlineLevel="0" collapsed="false">
      <c r="A30" s="3" t="s">
        <v>40</v>
      </c>
      <c r="B30" s="3" t="s">
        <v>118</v>
      </c>
      <c r="C30" s="3" t="s">
        <v>40</v>
      </c>
      <c r="D30" s="4" t="s">
        <v>90</v>
      </c>
      <c r="E30" s="10" t="n">
        <v>2.25</v>
      </c>
      <c r="F30" s="4" t="n">
        <v>12</v>
      </c>
      <c r="G30" s="3" t="s">
        <v>93</v>
      </c>
      <c r="H30" s="7" t="n">
        <v>46452</v>
      </c>
      <c r="I30" s="4" t="s">
        <v>85</v>
      </c>
    </row>
    <row r="31" customFormat="false" ht="15" hidden="false" customHeight="true" outlineLevel="0" collapsed="false">
      <c r="A31" s="3" t="s">
        <v>41</v>
      </c>
      <c r="B31" s="3" t="s">
        <v>119</v>
      </c>
      <c r="C31" s="3" t="s">
        <v>41</v>
      </c>
      <c r="D31" s="4" t="s">
        <v>90</v>
      </c>
      <c r="E31" s="10" t="n">
        <v>1.2</v>
      </c>
      <c r="F31" s="4" t="n">
        <v>12</v>
      </c>
      <c r="G31" s="3" t="s">
        <v>91</v>
      </c>
      <c r="H31" s="7" t="n">
        <v>48075</v>
      </c>
      <c r="I31" s="4" t="s">
        <v>85</v>
      </c>
    </row>
    <row r="32" customFormat="false" ht="15" hidden="false" customHeight="true" outlineLevel="0" collapsed="false">
      <c r="A32" s="3" t="s">
        <v>42</v>
      </c>
      <c r="B32" s="3" t="s">
        <v>120</v>
      </c>
      <c r="C32" s="3" t="s">
        <v>42</v>
      </c>
      <c r="D32" s="4" t="s">
        <v>90</v>
      </c>
      <c r="E32" s="10" t="n">
        <v>2.3</v>
      </c>
      <c r="F32" s="4" t="n">
        <v>4</v>
      </c>
      <c r="G32" s="3" t="s">
        <v>93</v>
      </c>
      <c r="H32" s="7" t="n">
        <v>46647</v>
      </c>
      <c r="I32" s="4" t="s">
        <v>85</v>
      </c>
    </row>
    <row r="33" customFormat="false" ht="15" hidden="false" customHeight="true" outlineLevel="0" collapsed="false">
      <c r="A33" s="3" t="s">
        <v>43</v>
      </c>
      <c r="B33" s="3" t="s">
        <v>121</v>
      </c>
      <c r="C33" s="3" t="s">
        <v>43</v>
      </c>
      <c r="D33" s="4" t="s">
        <v>90</v>
      </c>
      <c r="E33" s="10" t="n">
        <v>2</v>
      </c>
      <c r="F33" s="4" t="n">
        <v>12</v>
      </c>
      <c r="G33" s="3" t="s">
        <v>93</v>
      </c>
      <c r="H33" s="7" t="n">
        <v>46330</v>
      </c>
      <c r="I33" s="4" t="s">
        <v>85</v>
      </c>
    </row>
    <row r="34" customFormat="false" ht="15" hidden="false" customHeight="true" outlineLevel="0" collapsed="false">
      <c r="A34" s="3" t="s">
        <v>44</v>
      </c>
      <c r="B34" s="3" t="s">
        <v>122</v>
      </c>
      <c r="C34" s="3" t="s">
        <v>44</v>
      </c>
      <c r="D34" s="4" t="s">
        <v>90</v>
      </c>
      <c r="E34" s="10" t="n">
        <v>5</v>
      </c>
      <c r="F34" s="4" t="n">
        <v>12</v>
      </c>
      <c r="G34" s="3" t="s">
        <v>93</v>
      </c>
      <c r="H34" s="7" t="n">
        <v>46371</v>
      </c>
      <c r="I34" s="4" t="s">
        <v>85</v>
      </c>
    </row>
    <row r="35" customFormat="false" ht="15" hidden="false" customHeight="true" outlineLevel="0" collapsed="false">
      <c r="A35" s="3" t="s">
        <v>45</v>
      </c>
      <c r="B35" s="3" t="s">
        <v>123</v>
      </c>
      <c r="C35" s="3" t="s">
        <v>45</v>
      </c>
      <c r="D35" s="4" t="s">
        <v>90</v>
      </c>
      <c r="E35" s="10" t="n">
        <v>4.25</v>
      </c>
      <c r="F35" s="4" t="n">
        <v>12</v>
      </c>
      <c r="G35" s="3" t="s">
        <v>93</v>
      </c>
      <c r="H35" s="7" t="n">
        <v>46478</v>
      </c>
      <c r="I35" s="4" t="s">
        <v>85</v>
      </c>
    </row>
    <row r="36" customFormat="false" ht="15" hidden="false" customHeight="true" outlineLevel="0" collapsed="false">
      <c r="A36" s="3" t="s">
        <v>46</v>
      </c>
      <c r="B36" s="3" t="s">
        <v>124</v>
      </c>
      <c r="C36" s="3" t="s">
        <v>46</v>
      </c>
      <c r="D36" s="4" t="s">
        <v>90</v>
      </c>
      <c r="E36" s="10" t="n">
        <v>1.15</v>
      </c>
      <c r="F36" s="4" t="n">
        <v>12</v>
      </c>
      <c r="G36" s="3" t="s">
        <v>91</v>
      </c>
      <c r="H36" s="7" t="n">
        <v>49554</v>
      </c>
      <c r="I36" s="4" t="s">
        <v>85</v>
      </c>
    </row>
    <row r="37" customFormat="false" ht="15" hidden="false" customHeight="true" outlineLevel="0" collapsed="false">
      <c r="A37" s="3" t="s">
        <v>47</v>
      </c>
      <c r="B37" s="3" t="s">
        <v>125</v>
      </c>
      <c r="C37" s="3" t="s">
        <v>47</v>
      </c>
      <c r="D37" s="4" t="s">
        <v>90</v>
      </c>
      <c r="E37" s="10" t="n">
        <v>1.5</v>
      </c>
      <c r="F37" s="4" t="n">
        <v>12</v>
      </c>
      <c r="G37" s="3" t="s">
        <v>93</v>
      </c>
      <c r="H37" s="7" t="n">
        <v>47218</v>
      </c>
      <c r="I37" s="4" t="s">
        <v>85</v>
      </c>
    </row>
    <row r="38" customFormat="false" ht="15" hidden="false" customHeight="true" outlineLevel="0" collapsed="false">
      <c r="A38" s="3" t="s">
        <v>48</v>
      </c>
      <c r="B38" s="3" t="s">
        <v>126</v>
      </c>
      <c r="C38" s="3" t="s">
        <v>48</v>
      </c>
      <c r="D38" s="4" t="s">
        <v>16</v>
      </c>
      <c r="E38" s="10" t="n">
        <v>1.7</v>
      </c>
      <c r="F38" s="4" t="n">
        <v>12</v>
      </c>
      <c r="G38" s="3" t="s">
        <v>91</v>
      </c>
      <c r="H38" s="7" t="n">
        <v>49640</v>
      </c>
      <c r="I38" s="4" t="s">
        <v>85</v>
      </c>
    </row>
    <row r="39" customFormat="false" ht="15" hidden="false" customHeight="true" outlineLevel="0" collapsed="false">
      <c r="A39" s="3" t="s">
        <v>49</v>
      </c>
      <c r="B39" s="3" t="s">
        <v>127</v>
      </c>
      <c r="C39" s="3" t="s">
        <v>49</v>
      </c>
      <c r="D39" s="4" t="s">
        <v>90</v>
      </c>
      <c r="E39" s="10" t="n">
        <v>1.6</v>
      </c>
      <c r="F39" s="4" t="n">
        <v>12</v>
      </c>
      <c r="G39" s="3" t="s">
        <v>93</v>
      </c>
      <c r="H39" s="7" t="n">
        <v>47080</v>
      </c>
      <c r="I39" s="4" t="s">
        <v>85</v>
      </c>
    </row>
    <row r="40" customFormat="false" ht="15" hidden="false" customHeight="true" outlineLevel="0" collapsed="false">
      <c r="A40" s="3" t="s">
        <v>50</v>
      </c>
      <c r="B40" s="3" t="s">
        <v>128</v>
      </c>
      <c r="C40" s="3" t="s">
        <v>50</v>
      </c>
      <c r="D40" s="4" t="s">
        <v>90</v>
      </c>
      <c r="E40" s="10" t="n">
        <v>1.35</v>
      </c>
      <c r="F40" s="4" t="n">
        <v>12</v>
      </c>
      <c r="G40" s="3" t="s">
        <v>93</v>
      </c>
      <c r="H40" s="7" t="n">
        <v>46734</v>
      </c>
      <c r="I40" s="4" t="s">
        <v>85</v>
      </c>
    </row>
    <row r="41" customFormat="false" ht="15" hidden="false" customHeight="true" outlineLevel="0" collapsed="false">
      <c r="A41" s="3" t="s">
        <v>51</v>
      </c>
      <c r="B41" s="3" t="s">
        <v>129</v>
      </c>
      <c r="C41" s="3" t="s">
        <v>51</v>
      </c>
      <c r="D41" s="4" t="s">
        <v>90</v>
      </c>
      <c r="E41" s="10" t="n">
        <v>1.5</v>
      </c>
      <c r="F41" s="4" t="n">
        <v>12</v>
      </c>
      <c r="G41" s="3" t="s">
        <v>93</v>
      </c>
      <c r="H41" s="7" t="n">
        <v>46859</v>
      </c>
      <c r="I41" s="4" t="s">
        <v>85</v>
      </c>
    </row>
    <row r="42" customFormat="false" ht="15" hidden="false" customHeight="true" outlineLevel="0" collapsed="false">
      <c r="A42" s="3" t="s">
        <v>52</v>
      </c>
      <c r="B42" s="3" t="s">
        <v>130</v>
      </c>
      <c r="C42" s="3" t="s">
        <v>52</v>
      </c>
      <c r="D42" s="4" t="s">
        <v>90</v>
      </c>
      <c r="E42" s="10" t="n">
        <v>1.85</v>
      </c>
      <c r="F42" s="4" t="n">
        <v>12</v>
      </c>
      <c r="G42" s="3" t="s">
        <v>93</v>
      </c>
      <c r="H42" s="7" t="n">
        <v>47522</v>
      </c>
      <c r="I42" s="4" t="s">
        <v>85</v>
      </c>
    </row>
    <row r="43" customFormat="false" ht="15" hidden="false" customHeight="true" outlineLevel="0" collapsed="false">
      <c r="A43" s="3" t="s">
        <v>53</v>
      </c>
      <c r="B43" s="3" t="s">
        <v>131</v>
      </c>
      <c r="C43" s="3" t="s">
        <v>53</v>
      </c>
      <c r="D43" s="4" t="s">
        <v>90</v>
      </c>
      <c r="E43" s="10" t="n">
        <v>1.5</v>
      </c>
      <c r="F43" s="4" t="n">
        <v>12</v>
      </c>
      <c r="G43" s="3" t="s">
        <v>93</v>
      </c>
      <c r="H43" s="7" t="n">
        <v>47188</v>
      </c>
      <c r="I43" s="4" t="s">
        <v>85</v>
      </c>
    </row>
    <row r="44" customFormat="false" ht="15" hidden="false" customHeight="true" outlineLevel="0" collapsed="false">
      <c r="A44" s="3" t="s">
        <v>54</v>
      </c>
      <c r="B44" s="3" t="s">
        <v>132</v>
      </c>
      <c r="C44" s="3" t="s">
        <v>54</v>
      </c>
      <c r="D44" s="4" t="s">
        <v>90</v>
      </c>
      <c r="E44" s="10" t="n">
        <v>1.7</v>
      </c>
      <c r="F44" s="4" t="n">
        <v>12</v>
      </c>
      <c r="G44" s="3" t="s">
        <v>93</v>
      </c>
      <c r="H44" s="7" t="n">
        <v>47191</v>
      </c>
      <c r="I44" s="4" t="s">
        <v>85</v>
      </c>
    </row>
    <row r="45" customFormat="false" ht="15" hidden="false" customHeight="true" outlineLevel="0" collapsed="false">
      <c r="A45" s="3" t="s">
        <v>55</v>
      </c>
      <c r="B45" s="3" t="s">
        <v>133</v>
      </c>
      <c r="C45" s="3" t="s">
        <v>55</v>
      </c>
      <c r="D45" s="4" t="s">
        <v>90</v>
      </c>
      <c r="E45" s="10" t="n">
        <v>1.75</v>
      </c>
      <c r="F45" s="4" t="n">
        <v>12</v>
      </c>
      <c r="G45" s="3" t="s">
        <v>93</v>
      </c>
      <c r="H45" s="7" t="n">
        <v>47214</v>
      </c>
      <c r="I45" s="4" t="s">
        <v>85</v>
      </c>
    </row>
    <row r="46" customFormat="false" ht="15" hidden="false" customHeight="true" outlineLevel="0" collapsed="false">
      <c r="A46" s="3" t="s">
        <v>56</v>
      </c>
      <c r="B46" s="3" t="s">
        <v>134</v>
      </c>
      <c r="C46" s="3" t="s">
        <v>56</v>
      </c>
      <c r="D46" s="4" t="s">
        <v>90</v>
      </c>
      <c r="E46" s="10" t="n">
        <v>2</v>
      </c>
      <c r="F46" s="4" t="n">
        <v>12</v>
      </c>
      <c r="G46" s="3" t="s">
        <v>93</v>
      </c>
      <c r="H46" s="7" t="n">
        <v>47036</v>
      </c>
      <c r="I46" s="4" t="s">
        <v>85</v>
      </c>
    </row>
    <row r="47" customFormat="false" ht="15" hidden="false" customHeight="true" outlineLevel="0" collapsed="false">
      <c r="A47" s="3" t="s">
        <v>57</v>
      </c>
      <c r="B47" s="3" t="s">
        <v>135</v>
      </c>
      <c r="C47" s="3" t="s">
        <v>57</v>
      </c>
      <c r="D47" s="4" t="s">
        <v>90</v>
      </c>
      <c r="E47" s="10" t="n">
        <v>2.5</v>
      </c>
      <c r="F47" s="4" t="n">
        <v>12</v>
      </c>
      <c r="G47" s="3" t="s">
        <v>93</v>
      </c>
      <c r="H47" s="7" t="n">
        <v>47040</v>
      </c>
      <c r="I47" s="4" t="s">
        <v>85</v>
      </c>
    </row>
    <row r="48" customFormat="false" ht="15" hidden="false" customHeight="true" outlineLevel="0" collapsed="false">
      <c r="A48" s="3" t="s">
        <v>58</v>
      </c>
      <c r="B48" s="3" t="s">
        <v>136</v>
      </c>
      <c r="C48" s="3" t="s">
        <v>58</v>
      </c>
      <c r="D48" s="4" t="s">
        <v>90</v>
      </c>
      <c r="E48" s="10" t="n">
        <v>1.6</v>
      </c>
      <c r="F48" s="4" t="n">
        <v>4</v>
      </c>
      <c r="G48" s="3" t="s">
        <v>93</v>
      </c>
      <c r="H48" s="7" t="n">
        <v>46841</v>
      </c>
      <c r="I48" s="4" t="s">
        <v>85</v>
      </c>
    </row>
    <row r="49" customFormat="false" ht="15" hidden="false" customHeight="true" outlineLevel="0" collapsed="false">
      <c r="A49" s="3" t="s">
        <v>59</v>
      </c>
      <c r="B49" s="3" t="s">
        <v>137</v>
      </c>
      <c r="C49" s="3" t="s">
        <v>59</v>
      </c>
      <c r="D49" s="4" t="s">
        <v>87</v>
      </c>
      <c r="E49" s="4"/>
      <c r="F49" s="4" t="n">
        <v>2</v>
      </c>
      <c r="G49" s="3" t="s">
        <v>88</v>
      </c>
      <c r="H49" s="4" t="s">
        <v>84</v>
      </c>
      <c r="I49" s="4" t="s">
        <v>85</v>
      </c>
    </row>
    <row r="50" customFormat="false" ht="15" hidden="false" customHeight="true" outlineLevel="0" collapsed="false">
      <c r="A50" s="3" t="s">
        <v>60</v>
      </c>
      <c r="B50" s="3" t="s">
        <v>138</v>
      </c>
      <c r="C50" s="3" t="s">
        <v>60</v>
      </c>
      <c r="D50" s="4" t="s">
        <v>87</v>
      </c>
      <c r="E50" s="4"/>
      <c r="F50" s="4" t="n">
        <v>2</v>
      </c>
      <c r="G50" s="3" t="s">
        <v>88</v>
      </c>
      <c r="H50" s="4" t="s">
        <v>84</v>
      </c>
      <c r="I50" s="4" t="s">
        <v>85</v>
      </c>
    </row>
    <row r="51" customFormat="false" ht="15" hidden="false" customHeight="true" outlineLevel="0" collapsed="false">
      <c r="A51" s="3" t="s">
        <v>61</v>
      </c>
      <c r="B51" s="3" t="s">
        <v>139</v>
      </c>
      <c r="C51" s="3" t="s">
        <v>61</v>
      </c>
      <c r="D51" s="4" t="s">
        <v>87</v>
      </c>
      <c r="E51" s="4"/>
      <c r="F51" s="4" t="n">
        <v>2</v>
      </c>
      <c r="G51" s="3" t="s">
        <v>88</v>
      </c>
      <c r="H51" s="4" t="s">
        <v>84</v>
      </c>
      <c r="I51" s="4" t="s">
        <v>85</v>
      </c>
    </row>
    <row r="52" customFormat="false" ht="15" hidden="false" customHeight="true" outlineLevel="0" collapsed="false">
      <c r="A52" s="3" t="s">
        <v>62</v>
      </c>
      <c r="B52" s="3" t="s">
        <v>140</v>
      </c>
      <c r="C52" s="3" t="s">
        <v>62</v>
      </c>
      <c r="D52" s="4" t="s">
        <v>90</v>
      </c>
      <c r="E52" s="10" t="n">
        <v>1.5</v>
      </c>
      <c r="F52" s="4" t="n">
        <v>12</v>
      </c>
      <c r="G52" s="3" t="s">
        <v>91</v>
      </c>
      <c r="H52" s="7" t="n">
        <v>50490</v>
      </c>
      <c r="I52" s="4" t="s">
        <v>85</v>
      </c>
    </row>
    <row r="53" customFormat="false" ht="15" hidden="false" customHeight="true" outlineLevel="0" collapsed="false">
      <c r="A53" s="3" t="s">
        <v>63</v>
      </c>
      <c r="B53" s="3" t="s">
        <v>141</v>
      </c>
      <c r="C53" s="3" t="s">
        <v>63</v>
      </c>
      <c r="D53" s="4" t="s">
        <v>90</v>
      </c>
      <c r="E53" s="10" t="n">
        <v>1.7</v>
      </c>
      <c r="F53" s="4" t="n">
        <v>12</v>
      </c>
      <c r="G53" s="3" t="s">
        <v>93</v>
      </c>
      <c r="H53" s="7" t="n">
        <v>47257</v>
      </c>
      <c r="I53" s="4" t="s">
        <v>85</v>
      </c>
    </row>
    <row r="54" customFormat="false" ht="15" hidden="false" customHeight="true" outlineLevel="0" collapsed="false">
      <c r="A54" s="3" t="s">
        <v>64</v>
      </c>
      <c r="B54" s="3" t="s">
        <v>142</v>
      </c>
      <c r="C54" s="3" t="s">
        <v>64</v>
      </c>
      <c r="D54" s="4" t="s">
        <v>90</v>
      </c>
      <c r="E54" s="10" t="n">
        <v>3.5</v>
      </c>
      <c r="F54" s="4" t="n">
        <v>12</v>
      </c>
      <c r="G54" s="3" t="s">
        <v>93</v>
      </c>
      <c r="H54" s="7" t="n">
        <v>46911</v>
      </c>
      <c r="I54" s="4" t="s">
        <v>85</v>
      </c>
    </row>
    <row r="55" customFormat="false" ht="15" hidden="false" customHeight="true" outlineLevel="0" collapsed="false">
      <c r="A55" s="3" t="s">
        <v>65</v>
      </c>
      <c r="B55" s="3" t="s">
        <v>143</v>
      </c>
      <c r="C55" s="3" t="s">
        <v>65</v>
      </c>
      <c r="D55" s="4" t="s">
        <v>90</v>
      </c>
      <c r="E55" s="10" t="n">
        <v>1.5</v>
      </c>
      <c r="F55" s="4" t="n">
        <v>12</v>
      </c>
      <c r="G55" s="3" t="s">
        <v>93</v>
      </c>
      <c r="H55" s="7" t="n">
        <v>47283</v>
      </c>
      <c r="I55" s="4" t="s">
        <v>85</v>
      </c>
    </row>
    <row r="56" customFormat="false" ht="15" hidden="false" customHeight="true" outlineLevel="0" collapsed="false">
      <c r="A56" s="3" t="s">
        <v>66</v>
      </c>
      <c r="B56" s="3" t="s">
        <v>144</v>
      </c>
      <c r="C56" s="3" t="s">
        <v>66</v>
      </c>
      <c r="D56" s="4" t="s">
        <v>90</v>
      </c>
      <c r="E56" s="10" t="n">
        <v>2.5</v>
      </c>
      <c r="F56" s="4" t="n">
        <v>4</v>
      </c>
      <c r="G56" s="3" t="s">
        <v>91</v>
      </c>
      <c r="H56" s="7" t="n">
        <v>49866</v>
      </c>
      <c r="I56" s="4" t="s">
        <v>85</v>
      </c>
    </row>
    <row r="57" customFormat="false" ht="15" hidden="false" customHeight="true" outlineLevel="0" collapsed="false">
      <c r="A57" s="3" t="s">
        <v>67</v>
      </c>
      <c r="B57" s="3" t="s">
        <v>145</v>
      </c>
      <c r="C57" s="3" t="s">
        <v>67</v>
      </c>
      <c r="D57" s="4" t="s">
        <v>90</v>
      </c>
      <c r="E57" s="10" t="n">
        <v>3.25</v>
      </c>
      <c r="F57" s="4" t="n">
        <v>12</v>
      </c>
      <c r="G57" s="3" t="s">
        <v>93</v>
      </c>
      <c r="H57" s="7" t="n">
        <v>46973</v>
      </c>
      <c r="I57" s="4" t="s">
        <v>85</v>
      </c>
    </row>
    <row r="58" customFormat="false" ht="15" hidden="false" customHeight="true" outlineLevel="0" collapsed="false">
      <c r="A58" s="3" t="s">
        <v>68</v>
      </c>
      <c r="B58" s="3" t="s">
        <v>146</v>
      </c>
      <c r="C58" s="3" t="s">
        <v>68</v>
      </c>
      <c r="D58" s="4" t="s">
        <v>90</v>
      </c>
      <c r="E58" s="10" t="n">
        <v>4</v>
      </c>
      <c r="F58" s="4" t="n">
        <v>12</v>
      </c>
      <c r="G58" s="3" t="s">
        <v>91</v>
      </c>
      <c r="H58" s="7" t="n">
        <v>47339</v>
      </c>
      <c r="I58" s="4" t="s">
        <v>85</v>
      </c>
    </row>
    <row r="59" customFormat="false" ht="15" hidden="false" customHeight="true" outlineLevel="0" collapsed="false">
      <c r="A59" s="3" t="s">
        <v>69</v>
      </c>
      <c r="B59" s="3" t="s">
        <v>147</v>
      </c>
      <c r="C59" s="3" t="s">
        <v>69</v>
      </c>
      <c r="D59" s="4" t="s">
        <v>90</v>
      </c>
      <c r="E59" s="10" t="n">
        <v>3.3</v>
      </c>
      <c r="F59" s="4" t="n">
        <v>12</v>
      </c>
      <c r="G59" s="3" t="s">
        <v>93</v>
      </c>
      <c r="H59" s="7" t="n">
        <v>46982</v>
      </c>
      <c r="I59" s="4" t="s">
        <v>85</v>
      </c>
    </row>
    <row r="60" customFormat="false" ht="15" hidden="false" customHeight="true" outlineLevel="0" collapsed="false">
      <c r="A60" s="3" t="s">
        <v>70</v>
      </c>
      <c r="B60" s="3" t="s">
        <v>148</v>
      </c>
      <c r="C60" s="3" t="s">
        <v>70</v>
      </c>
      <c r="D60" s="4" t="s">
        <v>90</v>
      </c>
      <c r="E60" s="10" t="n">
        <v>1.35</v>
      </c>
      <c r="F60" s="4" t="n">
        <v>12</v>
      </c>
      <c r="G60" s="3" t="s">
        <v>93</v>
      </c>
      <c r="H60" s="7" t="n">
        <v>46816</v>
      </c>
      <c r="I60" s="4" t="s">
        <v>85</v>
      </c>
    </row>
    <row r="61" customFormat="false" ht="15" hidden="false" customHeight="true" outlineLevel="0" collapsed="false">
      <c r="A61" s="3" t="s">
        <v>71</v>
      </c>
      <c r="B61" s="3" t="s">
        <v>149</v>
      </c>
      <c r="C61" s="3" t="s">
        <v>71</v>
      </c>
      <c r="D61" s="4" t="s">
        <v>90</v>
      </c>
      <c r="E61" s="10" t="n">
        <v>1.5</v>
      </c>
      <c r="F61" s="4" t="n">
        <v>12</v>
      </c>
      <c r="G61" s="3" t="s">
        <v>93</v>
      </c>
      <c r="H61" s="7" t="n">
        <v>47363</v>
      </c>
      <c r="I61" s="4" t="s">
        <v>85</v>
      </c>
    </row>
    <row r="62" customFormat="false" ht="15" hidden="false" customHeight="true" outlineLevel="0" collapsed="false">
      <c r="A62" s="3" t="s">
        <v>72</v>
      </c>
      <c r="B62" s="3" t="s">
        <v>150</v>
      </c>
      <c r="C62" s="3" t="s">
        <v>72</v>
      </c>
      <c r="D62" s="4" t="s">
        <v>90</v>
      </c>
      <c r="E62" s="10" t="n">
        <v>1.7</v>
      </c>
      <c r="F62" s="4" t="n">
        <v>12</v>
      </c>
      <c r="G62" s="3" t="s">
        <v>93</v>
      </c>
      <c r="H62" s="7" t="n">
        <v>47367</v>
      </c>
      <c r="I62" s="4" t="s">
        <v>85</v>
      </c>
    </row>
    <row r="63" customFormat="false" ht="15" hidden="false" customHeight="true" outlineLevel="0" collapsed="false">
      <c r="A63" s="3" t="s">
        <v>73</v>
      </c>
      <c r="B63" s="3" t="s">
        <v>151</v>
      </c>
      <c r="C63" s="3" t="s">
        <v>73</v>
      </c>
      <c r="D63" s="4" t="s">
        <v>90</v>
      </c>
      <c r="E63" s="10" t="n">
        <v>1.55</v>
      </c>
      <c r="F63" s="4" t="n">
        <v>4</v>
      </c>
      <c r="G63" s="3" t="s">
        <v>93</v>
      </c>
      <c r="H63" s="7" t="n">
        <v>47025</v>
      </c>
      <c r="I63" s="4" t="s">
        <v>85</v>
      </c>
    </row>
    <row r="64" customFormat="false" ht="15" hidden="false" customHeight="true" outlineLevel="0" collapsed="false">
      <c r="A64" s="3" t="s">
        <v>74</v>
      </c>
      <c r="B64" s="3" t="s">
        <v>152</v>
      </c>
      <c r="C64" s="3" t="s">
        <v>74</v>
      </c>
      <c r="D64" s="4" t="s">
        <v>90</v>
      </c>
      <c r="E64" s="10" t="n">
        <v>1.45</v>
      </c>
      <c r="F64" s="4" t="n">
        <v>12</v>
      </c>
      <c r="G64" s="3" t="s">
        <v>93</v>
      </c>
      <c r="H64" s="7" t="n">
        <v>47370</v>
      </c>
      <c r="I64" s="4" t="s">
        <v>85</v>
      </c>
    </row>
  </sheetData>
  <autoFilter ref="A1:I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</cols>
  <sheetData>
    <row r="1" customFormat="false" ht="19.5" hidden="false" customHeight="true" outlineLevel="0" collapsed="false">
      <c r="A1" s="2" t="s">
        <v>153</v>
      </c>
      <c r="B1" s="2" t="s">
        <v>154</v>
      </c>
    </row>
    <row r="2" customFormat="false" ht="15" hidden="false" customHeight="true" outlineLevel="0" collapsed="false">
      <c r="A2" s="11" t="s">
        <v>155</v>
      </c>
      <c r="B2" s="12" t="n">
        <v>14</v>
      </c>
    </row>
    <row r="3" customFormat="false" ht="15" hidden="false" customHeight="true" outlineLevel="0" collapsed="false">
      <c r="A3" s="11" t="s">
        <v>156</v>
      </c>
      <c r="B3" s="12" t="n">
        <v>1</v>
      </c>
    </row>
    <row r="4" customFormat="false" ht="15" hidden="false" customHeight="true" outlineLevel="0" collapsed="false">
      <c r="A4" s="11" t="s">
        <v>157</v>
      </c>
      <c r="B4" s="13" t="n">
        <v>46295</v>
      </c>
    </row>
    <row r="5" customFormat="false" ht="15" hidden="false" customHeight="true" outlineLevel="0" collapsed="false">
      <c r="A5" s="11"/>
      <c r="B5" s="14"/>
    </row>
    <row r="6" customFormat="false" ht="15" hidden="false" customHeight="true" outlineLevel="0" collapsed="false">
      <c r="A6" s="11" t="s">
        <v>158</v>
      </c>
      <c r="B6" s="15" t="s">
        <v>159</v>
      </c>
    </row>
    <row r="7" customFormat="false" ht="15" hidden="false" customHeight="true" outlineLevel="0" collapsed="false">
      <c r="A7" s="11" t="s">
        <v>160</v>
      </c>
      <c r="B7" s="15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5"/>
  </cols>
  <sheetData>
    <row r="1" customFormat="false" ht="19.5" hidden="false" customHeight="true" outlineLevel="0" collapsed="false">
      <c r="A1" s="2" t="s">
        <v>162</v>
      </c>
      <c r="B1" s="2" t="s">
        <v>163</v>
      </c>
    </row>
    <row r="2" customFormat="false" ht="15" hidden="false" customHeight="true" outlineLevel="0" collapsed="false">
      <c r="A2" s="16" t="s">
        <v>164</v>
      </c>
      <c r="B2" s="16" t="s">
        <v>165</v>
      </c>
    </row>
    <row r="3" customFormat="false" ht="15" hidden="false" customHeight="true" outlineLevel="0" collapsed="false">
      <c r="A3" s="16" t="s">
        <v>166</v>
      </c>
      <c r="B3" s="16" t="s">
        <v>167</v>
      </c>
    </row>
    <row r="4" customFormat="false" ht="23.25" hidden="false" customHeight="true" outlineLevel="0" collapsed="false">
      <c r="A4" s="16" t="s">
        <v>6</v>
      </c>
      <c r="B4" s="16" t="s">
        <v>168</v>
      </c>
    </row>
    <row r="5" customFormat="false" ht="34.5" hidden="false" customHeight="true" outlineLevel="0" collapsed="false">
      <c r="A5" s="16" t="s">
        <v>169</v>
      </c>
      <c r="B5" s="16" t="s">
        <v>170</v>
      </c>
    </row>
    <row r="6" customFormat="false" ht="15" hidden="false" customHeight="true" outlineLevel="0" collapsed="false">
      <c r="A6" s="16" t="s">
        <v>171</v>
      </c>
      <c r="B6" s="16" t="s">
        <v>172</v>
      </c>
    </row>
    <row r="7" customFormat="false" ht="23.25" hidden="false" customHeight="true" outlineLevel="0" collapsed="false">
      <c r="A7" s="16" t="s">
        <v>173</v>
      </c>
      <c r="B7" s="16" t="s">
        <v>174</v>
      </c>
    </row>
    <row r="8" customFormat="false" ht="23.25" hidden="false" customHeight="true" outlineLevel="0" collapsed="false">
      <c r="A8" s="16" t="s">
        <v>175</v>
      </c>
      <c r="B8" s="16" t="s">
        <v>176</v>
      </c>
    </row>
    <row r="9" customFormat="false" ht="15" hidden="false" customHeight="true" outlineLevel="0" collapsed="false">
      <c r="A9" s="16" t="s">
        <v>88</v>
      </c>
      <c r="B9" s="16" t="s">
        <v>177</v>
      </c>
    </row>
    <row r="10" customFormat="false" ht="23.25" hidden="false" customHeight="true" outlineLevel="0" collapsed="false">
      <c r="A10" s="16" t="s">
        <v>178</v>
      </c>
      <c r="B10" s="16" t="s">
        <v>179</v>
      </c>
    </row>
    <row r="11" customFormat="false" ht="15" hidden="false" customHeight="true" outlineLevel="0" collapsed="false">
      <c r="A11" s="16" t="s">
        <v>180</v>
      </c>
      <c r="B11" s="16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2026-10-09T14:09:12Z</dcterms:created>
  <dc:creator>openpyxl</dc:creator>
  <dc:description/>
  <dc:language>en-US</dc:language>
  <cp:lastModifiedBy/>
  <dcterms:modified xsi:type="dcterms:W3CDTF">2026-10-09T14:09:27Z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